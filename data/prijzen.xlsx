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/>
  <mc:AlternateContent xmlns:mc="http://schemas.openxmlformats.org/markup-compatibility/2006">
    <mc:Choice Requires="x15">
      <x15ac:absPath xmlns:x15ac="http://schemas.microsoft.com/office/spreadsheetml/2010/11/ac" url="C:\Users\pc\Documents\GitHub\FLIM\data\"/>
    </mc:Choice>
  </mc:AlternateContent>
  <xr:revisionPtr revIDLastSave="0" documentId="13_ncr:1_{6E56FD98-BADA-4078-9EAE-9E53F7D07C8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sheet 260218 (def)" sheetId="6" r:id="rId1"/>
    <sheet name="Datasheet 260218 (oud)" sheetId="4" r:id="rId2"/>
    <sheet name="Sheet1" sheetId="1" r:id="rId3"/>
    <sheet name="Invoerblad HOUT" sheetId="2" r:id="rId4"/>
  </sheets>
  <definedNames>
    <definedName name="_HOUT_INDEX_TAB">'Invoerblad HOUT'!$A$18:$H$28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Q116" i="6" l="1"/>
  <c r="AQ108" i="6"/>
  <c r="AQ100" i="6"/>
  <c r="AQ92" i="6"/>
  <c r="AQ84" i="6"/>
  <c r="AQ76" i="6"/>
  <c r="AQ68" i="6"/>
  <c r="AQ60" i="6"/>
  <c r="AQ52" i="6"/>
  <c r="AQ44" i="6"/>
  <c r="AQ36" i="6"/>
  <c r="AQ28" i="6"/>
  <c r="AQ20" i="6"/>
  <c r="AQ12" i="6"/>
  <c r="AQ4" i="6"/>
  <c r="AF4" i="6"/>
  <c r="AP4" i="6"/>
  <c r="AP5" i="6"/>
  <c r="AQ5" i="6" s="1"/>
  <c r="AP6" i="6"/>
  <c r="AQ6" i="6" s="1"/>
  <c r="AP7" i="6"/>
  <c r="AQ7" i="6" s="1"/>
  <c r="AP8" i="6"/>
  <c r="AQ8" i="6" s="1"/>
  <c r="AP9" i="6"/>
  <c r="AQ9" i="6" s="1"/>
  <c r="AP10" i="6"/>
  <c r="AQ10" i="6" s="1"/>
  <c r="AP11" i="6"/>
  <c r="AQ11" i="6" s="1"/>
  <c r="AP12" i="6"/>
  <c r="AP13" i="6"/>
  <c r="AQ13" i="6" s="1"/>
  <c r="AP14" i="6"/>
  <c r="AQ14" i="6" s="1"/>
  <c r="AP15" i="6"/>
  <c r="AQ15" i="6" s="1"/>
  <c r="AP16" i="6"/>
  <c r="AQ16" i="6" s="1"/>
  <c r="AP17" i="6"/>
  <c r="AQ17" i="6" s="1"/>
  <c r="AP18" i="6"/>
  <c r="AQ18" i="6" s="1"/>
  <c r="AP19" i="6"/>
  <c r="AQ19" i="6" s="1"/>
  <c r="AP20" i="6"/>
  <c r="AP21" i="6"/>
  <c r="AQ21" i="6" s="1"/>
  <c r="AP22" i="6"/>
  <c r="AQ22" i="6" s="1"/>
  <c r="AP23" i="6"/>
  <c r="AQ23" i="6" s="1"/>
  <c r="AP24" i="6"/>
  <c r="AQ24" i="6" s="1"/>
  <c r="AP25" i="6"/>
  <c r="AQ25" i="6" s="1"/>
  <c r="AP26" i="6"/>
  <c r="AQ26" i="6" s="1"/>
  <c r="AP27" i="6"/>
  <c r="AQ27" i="6" s="1"/>
  <c r="AP28" i="6"/>
  <c r="AP29" i="6"/>
  <c r="AQ29" i="6" s="1"/>
  <c r="AP30" i="6"/>
  <c r="AQ30" i="6" s="1"/>
  <c r="AP31" i="6"/>
  <c r="AQ31" i="6" s="1"/>
  <c r="AP32" i="6"/>
  <c r="AQ32" i="6" s="1"/>
  <c r="AP33" i="6"/>
  <c r="AQ33" i="6" s="1"/>
  <c r="AP34" i="6"/>
  <c r="AQ34" i="6" s="1"/>
  <c r="AP35" i="6"/>
  <c r="AQ35" i="6" s="1"/>
  <c r="AP36" i="6"/>
  <c r="AP37" i="6"/>
  <c r="AQ37" i="6" s="1"/>
  <c r="AP38" i="6"/>
  <c r="AQ38" i="6" s="1"/>
  <c r="AP39" i="6"/>
  <c r="AQ39" i="6" s="1"/>
  <c r="AP40" i="6"/>
  <c r="AQ40" i="6" s="1"/>
  <c r="AP41" i="6"/>
  <c r="AQ41" i="6" s="1"/>
  <c r="AP42" i="6"/>
  <c r="AQ42" i="6" s="1"/>
  <c r="AP43" i="6"/>
  <c r="AQ43" i="6" s="1"/>
  <c r="AP44" i="6"/>
  <c r="AP45" i="6"/>
  <c r="AQ45" i="6" s="1"/>
  <c r="AP46" i="6"/>
  <c r="AQ46" i="6" s="1"/>
  <c r="AP47" i="6"/>
  <c r="AQ47" i="6" s="1"/>
  <c r="AP48" i="6"/>
  <c r="AQ48" i="6" s="1"/>
  <c r="AP49" i="6"/>
  <c r="AQ49" i="6" s="1"/>
  <c r="AP50" i="6"/>
  <c r="AQ50" i="6" s="1"/>
  <c r="AP51" i="6"/>
  <c r="AQ51" i="6" s="1"/>
  <c r="AP52" i="6"/>
  <c r="AP53" i="6"/>
  <c r="AQ53" i="6" s="1"/>
  <c r="AP54" i="6"/>
  <c r="AQ54" i="6" s="1"/>
  <c r="AP55" i="6"/>
  <c r="AQ55" i="6" s="1"/>
  <c r="AP56" i="6"/>
  <c r="AQ56" i="6" s="1"/>
  <c r="AP57" i="6"/>
  <c r="AQ57" i="6" s="1"/>
  <c r="AP58" i="6"/>
  <c r="AQ58" i="6" s="1"/>
  <c r="AP59" i="6"/>
  <c r="AQ59" i="6" s="1"/>
  <c r="AP60" i="6"/>
  <c r="AP61" i="6"/>
  <c r="AQ61" i="6" s="1"/>
  <c r="AP62" i="6"/>
  <c r="AQ62" i="6" s="1"/>
  <c r="AP63" i="6"/>
  <c r="AQ63" i="6" s="1"/>
  <c r="AP64" i="6"/>
  <c r="AQ64" i="6" s="1"/>
  <c r="AP65" i="6"/>
  <c r="AQ65" i="6" s="1"/>
  <c r="AP66" i="6"/>
  <c r="AQ66" i="6" s="1"/>
  <c r="AP67" i="6"/>
  <c r="AQ67" i="6" s="1"/>
  <c r="AP68" i="6"/>
  <c r="AP69" i="6"/>
  <c r="AQ69" i="6" s="1"/>
  <c r="AP70" i="6"/>
  <c r="AQ70" i="6" s="1"/>
  <c r="AP71" i="6"/>
  <c r="AQ71" i="6" s="1"/>
  <c r="AP72" i="6"/>
  <c r="AQ72" i="6" s="1"/>
  <c r="AP73" i="6"/>
  <c r="AQ73" i="6" s="1"/>
  <c r="AP74" i="6"/>
  <c r="AQ74" i="6" s="1"/>
  <c r="AP75" i="6"/>
  <c r="AQ75" i="6" s="1"/>
  <c r="AP76" i="6"/>
  <c r="AP77" i="6"/>
  <c r="AQ77" i="6" s="1"/>
  <c r="AP78" i="6"/>
  <c r="AQ78" i="6" s="1"/>
  <c r="AP79" i="6"/>
  <c r="AQ79" i="6" s="1"/>
  <c r="AP80" i="6"/>
  <c r="AQ80" i="6" s="1"/>
  <c r="AP81" i="6"/>
  <c r="AQ81" i="6" s="1"/>
  <c r="AP82" i="6"/>
  <c r="AQ82" i="6" s="1"/>
  <c r="AP83" i="6"/>
  <c r="AQ83" i="6" s="1"/>
  <c r="AP84" i="6"/>
  <c r="AP85" i="6"/>
  <c r="AQ85" i="6" s="1"/>
  <c r="AP86" i="6"/>
  <c r="AQ86" i="6" s="1"/>
  <c r="AP87" i="6"/>
  <c r="AQ87" i="6" s="1"/>
  <c r="AP88" i="6"/>
  <c r="AQ88" i="6" s="1"/>
  <c r="AP89" i="6"/>
  <c r="AQ89" i="6" s="1"/>
  <c r="AP90" i="6"/>
  <c r="AQ90" i="6" s="1"/>
  <c r="AP91" i="6"/>
  <c r="AQ91" i="6" s="1"/>
  <c r="AP92" i="6"/>
  <c r="AP93" i="6"/>
  <c r="AQ93" i="6" s="1"/>
  <c r="AP94" i="6"/>
  <c r="AQ94" i="6" s="1"/>
  <c r="AP95" i="6"/>
  <c r="AQ95" i="6" s="1"/>
  <c r="AP96" i="6"/>
  <c r="AQ96" i="6" s="1"/>
  <c r="AP97" i="6"/>
  <c r="AQ97" i="6" s="1"/>
  <c r="AP98" i="6"/>
  <c r="AQ98" i="6" s="1"/>
  <c r="AP99" i="6"/>
  <c r="AQ99" i="6" s="1"/>
  <c r="AP100" i="6"/>
  <c r="AP101" i="6"/>
  <c r="AQ101" i="6" s="1"/>
  <c r="AP102" i="6"/>
  <c r="AQ102" i="6" s="1"/>
  <c r="AP103" i="6"/>
  <c r="AQ103" i="6" s="1"/>
  <c r="AP104" i="6"/>
  <c r="AQ104" i="6" s="1"/>
  <c r="AP105" i="6"/>
  <c r="AQ105" i="6" s="1"/>
  <c r="AP106" i="6"/>
  <c r="AQ106" i="6" s="1"/>
  <c r="AP107" i="6"/>
  <c r="AQ107" i="6" s="1"/>
  <c r="AP108" i="6"/>
  <c r="AP109" i="6"/>
  <c r="AQ109" i="6" s="1"/>
  <c r="AP110" i="6"/>
  <c r="AQ110" i="6" s="1"/>
  <c r="AP111" i="6"/>
  <c r="AQ111" i="6" s="1"/>
  <c r="AP112" i="6"/>
  <c r="AQ112" i="6" s="1"/>
  <c r="AP113" i="6"/>
  <c r="AQ113" i="6" s="1"/>
  <c r="AP114" i="6"/>
  <c r="AQ114" i="6" s="1"/>
  <c r="AP115" i="6"/>
  <c r="AQ115" i="6" s="1"/>
  <c r="AP116" i="6"/>
  <c r="AP117" i="6"/>
  <c r="AQ117" i="6" s="1"/>
  <c r="AP118" i="6"/>
  <c r="AQ118" i="6" s="1"/>
  <c r="AP119" i="6"/>
  <c r="AQ119" i="6" s="1"/>
  <c r="AP120" i="6"/>
  <c r="AQ120" i="6" s="1"/>
  <c r="AP121" i="6"/>
  <c r="AQ121" i="6" s="1"/>
  <c r="AP122" i="6"/>
  <c r="AQ122" i="6" s="1"/>
  <c r="AP123" i="6"/>
  <c r="AQ123" i="6" s="1"/>
  <c r="AP124" i="6"/>
  <c r="AQ124" i="6" s="1"/>
  <c r="AP125" i="6"/>
  <c r="AQ125" i="6" s="1"/>
  <c r="AP126" i="6"/>
  <c r="AQ126" i="6" s="1"/>
  <c r="AP127" i="6"/>
  <c r="AQ127" i="6" s="1"/>
  <c r="AP128" i="6"/>
  <c r="AQ128" i="6" s="1"/>
  <c r="AP129" i="6"/>
  <c r="AQ129" i="6" s="1"/>
  <c r="AP130" i="6"/>
  <c r="AP131" i="6"/>
  <c r="AP132" i="6"/>
  <c r="AP133" i="6"/>
  <c r="AP134" i="6"/>
  <c r="AA30" i="6"/>
  <c r="AA31" i="6"/>
  <c r="AA32" i="6"/>
  <c r="AA33" i="6"/>
  <c r="AA34" i="6"/>
  <c r="AA35" i="6"/>
  <c r="AA36" i="6"/>
  <c r="AA37" i="6"/>
  <c r="AA38" i="6"/>
  <c r="AA39" i="6"/>
  <c r="AA40" i="6"/>
  <c r="AA41" i="6"/>
  <c r="AA42" i="6"/>
  <c r="AA43" i="6"/>
  <c r="AA44" i="6"/>
  <c r="AA45" i="6"/>
  <c r="AA46" i="6"/>
  <c r="AA47" i="6"/>
  <c r="AA48" i="6"/>
  <c r="AA49" i="6"/>
  <c r="AA50" i="6"/>
  <c r="AA51" i="6"/>
  <c r="AA52" i="6"/>
  <c r="AA53" i="6"/>
  <c r="AA54" i="6"/>
  <c r="AA55" i="6"/>
  <c r="AA56" i="6"/>
  <c r="AA57" i="6"/>
  <c r="AA58" i="6"/>
  <c r="AA59" i="6"/>
  <c r="AA60" i="6"/>
  <c r="AA61" i="6"/>
  <c r="AA62" i="6"/>
  <c r="AA63" i="6"/>
  <c r="AA64" i="6"/>
  <c r="AA65" i="6"/>
  <c r="AA66" i="6"/>
  <c r="AA67" i="6"/>
  <c r="AA68" i="6"/>
  <c r="AA69" i="6"/>
  <c r="AA70" i="6"/>
  <c r="AA71" i="6"/>
  <c r="AA72" i="6"/>
  <c r="AA73" i="6"/>
  <c r="AA74" i="6"/>
  <c r="AA75" i="6"/>
  <c r="AA76" i="6"/>
  <c r="AA77" i="6"/>
  <c r="AA78" i="6"/>
  <c r="AA79" i="6"/>
  <c r="AA80" i="6"/>
  <c r="AA81" i="6"/>
  <c r="AA82" i="6"/>
  <c r="AA83" i="6"/>
  <c r="AA84" i="6"/>
  <c r="AA85" i="6"/>
  <c r="AA86" i="6"/>
  <c r="AA87" i="6"/>
  <c r="AA88" i="6"/>
  <c r="AA89" i="6"/>
  <c r="AA90" i="6"/>
  <c r="AA91" i="6"/>
  <c r="AA92" i="6"/>
  <c r="AA93" i="6"/>
  <c r="AA94" i="6"/>
  <c r="AA95" i="6"/>
  <c r="AA96" i="6"/>
  <c r="AA97" i="6"/>
  <c r="AA98" i="6"/>
  <c r="AA99" i="6"/>
  <c r="AA100" i="6"/>
  <c r="AA101" i="6"/>
  <c r="AA102" i="6"/>
  <c r="AA103" i="6"/>
  <c r="AA104" i="6"/>
  <c r="AA105" i="6"/>
  <c r="AA106" i="6"/>
  <c r="AA107" i="6"/>
  <c r="AA108" i="6"/>
  <c r="AA109" i="6"/>
  <c r="AA110" i="6"/>
  <c r="AA111" i="6"/>
  <c r="AA112" i="6"/>
  <c r="AA113" i="6"/>
  <c r="AA114" i="6"/>
  <c r="AA115" i="6"/>
  <c r="AA116" i="6"/>
  <c r="AA117" i="6"/>
  <c r="AA118" i="6"/>
  <c r="AA119" i="6"/>
  <c r="AA120" i="6"/>
  <c r="AA121" i="6"/>
  <c r="AA122" i="6"/>
  <c r="AA123" i="6"/>
  <c r="AA124" i="6"/>
  <c r="AA125" i="6"/>
  <c r="AA126" i="6"/>
  <c r="AA127" i="6"/>
  <c r="AA128" i="6"/>
  <c r="AA129" i="6"/>
  <c r="AA130" i="6"/>
  <c r="AA131" i="6"/>
  <c r="AA132" i="6"/>
  <c r="AA133" i="6"/>
  <c r="AA134" i="6"/>
  <c r="AA29" i="6"/>
  <c r="AC5" i="6"/>
  <c r="R4" i="6"/>
  <c r="F4" i="6" l="1"/>
  <c r="G4" i="6"/>
  <c r="H4" i="6"/>
  <c r="I4" i="6"/>
  <c r="J4" i="6"/>
  <c r="K4" i="6"/>
  <c r="L4" i="6"/>
  <c r="F5" i="6"/>
  <c r="G5" i="6"/>
  <c r="H5" i="6"/>
  <c r="I5" i="6"/>
  <c r="J5" i="6"/>
  <c r="K5" i="6"/>
  <c r="L5" i="6"/>
  <c r="F6" i="6"/>
  <c r="G6" i="6"/>
  <c r="H6" i="6"/>
  <c r="I6" i="6"/>
  <c r="J6" i="6"/>
  <c r="K6" i="6"/>
  <c r="L6" i="6"/>
  <c r="F7" i="6"/>
  <c r="G7" i="6"/>
  <c r="H7" i="6"/>
  <c r="I7" i="6"/>
  <c r="J7" i="6"/>
  <c r="K7" i="6"/>
  <c r="L7" i="6"/>
  <c r="F8" i="6"/>
  <c r="G8" i="6"/>
  <c r="H8" i="6"/>
  <c r="I8" i="6"/>
  <c r="J8" i="6"/>
  <c r="K8" i="6"/>
  <c r="L8" i="6"/>
  <c r="F9" i="6"/>
  <c r="G9" i="6"/>
  <c r="H9" i="6"/>
  <c r="I9" i="6"/>
  <c r="J9" i="6"/>
  <c r="K9" i="6"/>
  <c r="L9" i="6"/>
  <c r="F10" i="6"/>
  <c r="G10" i="6"/>
  <c r="H10" i="6"/>
  <c r="I10" i="6"/>
  <c r="J10" i="6"/>
  <c r="K10" i="6"/>
  <c r="L10" i="6"/>
  <c r="F11" i="6"/>
  <c r="G11" i="6"/>
  <c r="H11" i="6"/>
  <c r="I11" i="6"/>
  <c r="J11" i="6"/>
  <c r="K11" i="6"/>
  <c r="L11" i="6"/>
  <c r="F12" i="6"/>
  <c r="G12" i="6"/>
  <c r="H12" i="6"/>
  <c r="I12" i="6"/>
  <c r="J12" i="6"/>
  <c r="K12" i="6"/>
  <c r="L12" i="6"/>
  <c r="F13" i="6"/>
  <c r="G13" i="6"/>
  <c r="H13" i="6"/>
  <c r="I13" i="6"/>
  <c r="J13" i="6"/>
  <c r="K13" i="6"/>
  <c r="L13" i="6"/>
  <c r="F14" i="6"/>
  <c r="G14" i="6"/>
  <c r="H14" i="6"/>
  <c r="I14" i="6"/>
  <c r="J14" i="6"/>
  <c r="K14" i="6"/>
  <c r="L14" i="6"/>
  <c r="F15" i="6"/>
  <c r="G15" i="6"/>
  <c r="H15" i="6"/>
  <c r="I15" i="6"/>
  <c r="J15" i="6"/>
  <c r="K15" i="6"/>
  <c r="L15" i="6"/>
  <c r="F16" i="6"/>
  <c r="G16" i="6"/>
  <c r="H16" i="6"/>
  <c r="I16" i="6"/>
  <c r="J16" i="6"/>
  <c r="K16" i="6"/>
  <c r="L16" i="6"/>
  <c r="F17" i="6"/>
  <c r="G17" i="6"/>
  <c r="H17" i="6"/>
  <c r="I17" i="6"/>
  <c r="J17" i="6"/>
  <c r="K17" i="6"/>
  <c r="L17" i="6"/>
  <c r="F18" i="6"/>
  <c r="G18" i="6"/>
  <c r="H18" i="6"/>
  <c r="I18" i="6"/>
  <c r="J18" i="6"/>
  <c r="K18" i="6"/>
  <c r="L18" i="6"/>
  <c r="F19" i="6"/>
  <c r="G19" i="6"/>
  <c r="H19" i="6"/>
  <c r="I19" i="6"/>
  <c r="J19" i="6"/>
  <c r="K19" i="6"/>
  <c r="L19" i="6"/>
  <c r="F20" i="6"/>
  <c r="G20" i="6"/>
  <c r="H20" i="6"/>
  <c r="I20" i="6"/>
  <c r="J20" i="6"/>
  <c r="K20" i="6"/>
  <c r="L20" i="6"/>
  <c r="F21" i="6"/>
  <c r="G21" i="6"/>
  <c r="H21" i="6"/>
  <c r="I21" i="6"/>
  <c r="J21" i="6"/>
  <c r="K21" i="6"/>
  <c r="L21" i="6"/>
  <c r="F22" i="6"/>
  <c r="G22" i="6"/>
  <c r="H22" i="6"/>
  <c r="I22" i="6"/>
  <c r="J22" i="6"/>
  <c r="K22" i="6"/>
  <c r="L22" i="6"/>
  <c r="F23" i="6"/>
  <c r="G23" i="6"/>
  <c r="H23" i="6"/>
  <c r="I23" i="6"/>
  <c r="J23" i="6"/>
  <c r="K23" i="6"/>
  <c r="L23" i="6"/>
  <c r="F24" i="6"/>
  <c r="G24" i="6"/>
  <c r="H24" i="6"/>
  <c r="I24" i="6"/>
  <c r="J24" i="6"/>
  <c r="K24" i="6"/>
  <c r="L24" i="6"/>
  <c r="F25" i="6"/>
  <c r="G25" i="6"/>
  <c r="H25" i="6"/>
  <c r="I25" i="6"/>
  <c r="J25" i="6"/>
  <c r="K25" i="6"/>
  <c r="L25" i="6"/>
  <c r="F26" i="6"/>
  <c r="G26" i="6"/>
  <c r="H26" i="6"/>
  <c r="I26" i="6"/>
  <c r="J26" i="6"/>
  <c r="K26" i="6"/>
  <c r="L26" i="6"/>
  <c r="F27" i="6"/>
  <c r="G27" i="6"/>
  <c r="H27" i="6"/>
  <c r="I27" i="6"/>
  <c r="J27" i="6"/>
  <c r="K27" i="6"/>
  <c r="L27" i="6"/>
  <c r="F28" i="6"/>
  <c r="G28" i="6"/>
  <c r="H28" i="6"/>
  <c r="I28" i="6"/>
  <c r="J28" i="6"/>
  <c r="K28" i="6"/>
  <c r="L28" i="6"/>
  <c r="F29" i="6"/>
  <c r="G29" i="6"/>
  <c r="H29" i="6"/>
  <c r="I29" i="6"/>
  <c r="J29" i="6"/>
  <c r="K29" i="6"/>
  <c r="L29" i="6"/>
  <c r="F30" i="6"/>
  <c r="G30" i="6"/>
  <c r="H30" i="6"/>
  <c r="I30" i="6"/>
  <c r="J30" i="6"/>
  <c r="K30" i="6"/>
  <c r="L30" i="6"/>
  <c r="F31" i="6"/>
  <c r="G31" i="6"/>
  <c r="H31" i="6"/>
  <c r="I31" i="6"/>
  <c r="J31" i="6"/>
  <c r="K31" i="6"/>
  <c r="L31" i="6"/>
  <c r="F32" i="6"/>
  <c r="G32" i="6"/>
  <c r="H32" i="6"/>
  <c r="I32" i="6"/>
  <c r="J32" i="6"/>
  <c r="K32" i="6"/>
  <c r="L32" i="6"/>
  <c r="F33" i="6"/>
  <c r="G33" i="6"/>
  <c r="H33" i="6"/>
  <c r="I33" i="6"/>
  <c r="J33" i="6"/>
  <c r="K33" i="6"/>
  <c r="L33" i="6"/>
  <c r="F34" i="6"/>
  <c r="G34" i="6"/>
  <c r="H34" i="6"/>
  <c r="I34" i="6"/>
  <c r="J34" i="6"/>
  <c r="K34" i="6"/>
  <c r="L34" i="6"/>
  <c r="F35" i="6"/>
  <c r="G35" i="6"/>
  <c r="H35" i="6"/>
  <c r="I35" i="6"/>
  <c r="J35" i="6"/>
  <c r="K35" i="6"/>
  <c r="L35" i="6"/>
  <c r="F36" i="6"/>
  <c r="G36" i="6"/>
  <c r="H36" i="6"/>
  <c r="I36" i="6"/>
  <c r="J36" i="6"/>
  <c r="K36" i="6"/>
  <c r="L36" i="6"/>
  <c r="F37" i="6"/>
  <c r="G37" i="6"/>
  <c r="H37" i="6"/>
  <c r="I37" i="6"/>
  <c r="J37" i="6"/>
  <c r="K37" i="6"/>
  <c r="L37" i="6"/>
  <c r="F38" i="6"/>
  <c r="G38" i="6"/>
  <c r="H38" i="6"/>
  <c r="I38" i="6"/>
  <c r="J38" i="6"/>
  <c r="K38" i="6"/>
  <c r="L38" i="6"/>
  <c r="F39" i="6"/>
  <c r="G39" i="6"/>
  <c r="H39" i="6"/>
  <c r="I39" i="6"/>
  <c r="J39" i="6"/>
  <c r="K39" i="6"/>
  <c r="L39" i="6"/>
  <c r="F40" i="6"/>
  <c r="G40" i="6"/>
  <c r="H40" i="6"/>
  <c r="I40" i="6"/>
  <c r="J40" i="6"/>
  <c r="K40" i="6"/>
  <c r="L40" i="6"/>
  <c r="F41" i="6"/>
  <c r="G41" i="6"/>
  <c r="H41" i="6"/>
  <c r="I41" i="6"/>
  <c r="J41" i="6"/>
  <c r="K41" i="6"/>
  <c r="L41" i="6"/>
  <c r="F42" i="6"/>
  <c r="G42" i="6"/>
  <c r="H42" i="6"/>
  <c r="I42" i="6"/>
  <c r="J42" i="6"/>
  <c r="K42" i="6"/>
  <c r="L42" i="6"/>
  <c r="F43" i="6"/>
  <c r="G43" i="6"/>
  <c r="H43" i="6"/>
  <c r="I43" i="6"/>
  <c r="J43" i="6"/>
  <c r="K43" i="6"/>
  <c r="L43" i="6"/>
  <c r="F44" i="6"/>
  <c r="G44" i="6"/>
  <c r="H44" i="6"/>
  <c r="I44" i="6"/>
  <c r="J44" i="6"/>
  <c r="K44" i="6"/>
  <c r="L44" i="6"/>
  <c r="F45" i="6"/>
  <c r="G45" i="6"/>
  <c r="H45" i="6"/>
  <c r="I45" i="6"/>
  <c r="J45" i="6"/>
  <c r="K45" i="6"/>
  <c r="L45" i="6"/>
  <c r="F46" i="6"/>
  <c r="G46" i="6"/>
  <c r="H46" i="6"/>
  <c r="I46" i="6"/>
  <c r="J46" i="6"/>
  <c r="K46" i="6"/>
  <c r="L46" i="6"/>
  <c r="F47" i="6"/>
  <c r="G47" i="6"/>
  <c r="H47" i="6"/>
  <c r="I47" i="6"/>
  <c r="J47" i="6"/>
  <c r="K47" i="6"/>
  <c r="L47" i="6"/>
  <c r="F48" i="6"/>
  <c r="G48" i="6"/>
  <c r="H48" i="6"/>
  <c r="I48" i="6"/>
  <c r="J48" i="6"/>
  <c r="K48" i="6"/>
  <c r="L48" i="6"/>
  <c r="F49" i="6"/>
  <c r="G49" i="6"/>
  <c r="H49" i="6"/>
  <c r="I49" i="6"/>
  <c r="J49" i="6"/>
  <c r="K49" i="6"/>
  <c r="L49" i="6"/>
  <c r="F50" i="6"/>
  <c r="G50" i="6"/>
  <c r="H50" i="6"/>
  <c r="I50" i="6"/>
  <c r="J50" i="6"/>
  <c r="K50" i="6"/>
  <c r="L50" i="6"/>
  <c r="F51" i="6"/>
  <c r="G51" i="6"/>
  <c r="H51" i="6"/>
  <c r="I51" i="6"/>
  <c r="J51" i="6"/>
  <c r="K51" i="6"/>
  <c r="L51" i="6"/>
  <c r="F52" i="6"/>
  <c r="G52" i="6"/>
  <c r="H52" i="6"/>
  <c r="I52" i="6"/>
  <c r="J52" i="6"/>
  <c r="K52" i="6"/>
  <c r="L52" i="6"/>
  <c r="F53" i="6"/>
  <c r="G53" i="6"/>
  <c r="H53" i="6"/>
  <c r="I53" i="6"/>
  <c r="J53" i="6"/>
  <c r="K53" i="6"/>
  <c r="L53" i="6"/>
  <c r="F54" i="6"/>
  <c r="G54" i="6"/>
  <c r="H54" i="6"/>
  <c r="I54" i="6"/>
  <c r="J54" i="6"/>
  <c r="K54" i="6"/>
  <c r="L54" i="6"/>
  <c r="F55" i="6"/>
  <c r="G55" i="6"/>
  <c r="H55" i="6"/>
  <c r="I55" i="6"/>
  <c r="J55" i="6"/>
  <c r="K55" i="6"/>
  <c r="L55" i="6"/>
  <c r="F56" i="6"/>
  <c r="G56" i="6"/>
  <c r="H56" i="6"/>
  <c r="I56" i="6"/>
  <c r="J56" i="6"/>
  <c r="K56" i="6"/>
  <c r="L56" i="6"/>
  <c r="F57" i="6"/>
  <c r="G57" i="6"/>
  <c r="H57" i="6"/>
  <c r="I57" i="6"/>
  <c r="J57" i="6"/>
  <c r="K57" i="6"/>
  <c r="L57" i="6"/>
  <c r="F58" i="6"/>
  <c r="G58" i="6"/>
  <c r="H58" i="6"/>
  <c r="I58" i="6"/>
  <c r="J58" i="6"/>
  <c r="K58" i="6"/>
  <c r="L58" i="6"/>
  <c r="F59" i="6"/>
  <c r="G59" i="6"/>
  <c r="H59" i="6"/>
  <c r="I59" i="6"/>
  <c r="J59" i="6"/>
  <c r="K59" i="6"/>
  <c r="L59" i="6"/>
  <c r="F60" i="6"/>
  <c r="G60" i="6"/>
  <c r="H60" i="6"/>
  <c r="I60" i="6"/>
  <c r="J60" i="6"/>
  <c r="K60" i="6"/>
  <c r="L60" i="6"/>
  <c r="F61" i="6"/>
  <c r="G61" i="6"/>
  <c r="H61" i="6"/>
  <c r="I61" i="6"/>
  <c r="J61" i="6"/>
  <c r="K61" i="6"/>
  <c r="L61" i="6"/>
  <c r="F62" i="6"/>
  <c r="G62" i="6"/>
  <c r="H62" i="6"/>
  <c r="I62" i="6"/>
  <c r="J62" i="6"/>
  <c r="K62" i="6"/>
  <c r="L62" i="6"/>
  <c r="F63" i="6"/>
  <c r="G63" i="6"/>
  <c r="H63" i="6"/>
  <c r="I63" i="6"/>
  <c r="J63" i="6"/>
  <c r="K63" i="6"/>
  <c r="L63" i="6"/>
  <c r="F64" i="6"/>
  <c r="G64" i="6"/>
  <c r="H64" i="6"/>
  <c r="I64" i="6"/>
  <c r="J64" i="6"/>
  <c r="K64" i="6"/>
  <c r="L64" i="6"/>
  <c r="F65" i="6"/>
  <c r="G65" i="6"/>
  <c r="H65" i="6"/>
  <c r="I65" i="6"/>
  <c r="J65" i="6"/>
  <c r="K65" i="6"/>
  <c r="L65" i="6"/>
  <c r="F66" i="6"/>
  <c r="G66" i="6"/>
  <c r="H66" i="6"/>
  <c r="I66" i="6"/>
  <c r="J66" i="6"/>
  <c r="K66" i="6"/>
  <c r="L66" i="6"/>
  <c r="F67" i="6"/>
  <c r="G67" i="6"/>
  <c r="H67" i="6"/>
  <c r="I67" i="6"/>
  <c r="J67" i="6"/>
  <c r="K67" i="6"/>
  <c r="L67" i="6"/>
  <c r="F68" i="6"/>
  <c r="G68" i="6"/>
  <c r="H68" i="6"/>
  <c r="I68" i="6"/>
  <c r="J68" i="6"/>
  <c r="K68" i="6"/>
  <c r="L68" i="6"/>
  <c r="F69" i="6"/>
  <c r="G69" i="6"/>
  <c r="H69" i="6"/>
  <c r="I69" i="6"/>
  <c r="J69" i="6"/>
  <c r="K69" i="6"/>
  <c r="L69" i="6"/>
  <c r="F70" i="6"/>
  <c r="G70" i="6"/>
  <c r="H70" i="6"/>
  <c r="I70" i="6"/>
  <c r="J70" i="6"/>
  <c r="K70" i="6"/>
  <c r="L70" i="6"/>
  <c r="F71" i="6"/>
  <c r="G71" i="6"/>
  <c r="H71" i="6"/>
  <c r="I71" i="6"/>
  <c r="J71" i="6"/>
  <c r="K71" i="6"/>
  <c r="L71" i="6"/>
  <c r="F72" i="6"/>
  <c r="G72" i="6"/>
  <c r="H72" i="6"/>
  <c r="I72" i="6"/>
  <c r="J72" i="6"/>
  <c r="K72" i="6"/>
  <c r="L72" i="6"/>
  <c r="F73" i="6"/>
  <c r="G73" i="6"/>
  <c r="H73" i="6"/>
  <c r="I73" i="6"/>
  <c r="J73" i="6"/>
  <c r="K73" i="6"/>
  <c r="L73" i="6"/>
  <c r="F74" i="6"/>
  <c r="G74" i="6"/>
  <c r="H74" i="6"/>
  <c r="I74" i="6"/>
  <c r="J74" i="6"/>
  <c r="K74" i="6"/>
  <c r="L74" i="6"/>
  <c r="F75" i="6"/>
  <c r="G75" i="6"/>
  <c r="H75" i="6"/>
  <c r="I75" i="6"/>
  <c r="J75" i="6"/>
  <c r="K75" i="6"/>
  <c r="L75" i="6"/>
  <c r="F76" i="6"/>
  <c r="G76" i="6"/>
  <c r="H76" i="6"/>
  <c r="I76" i="6"/>
  <c r="J76" i="6"/>
  <c r="K76" i="6"/>
  <c r="L76" i="6"/>
  <c r="F77" i="6"/>
  <c r="G77" i="6"/>
  <c r="H77" i="6"/>
  <c r="I77" i="6"/>
  <c r="J77" i="6"/>
  <c r="K77" i="6"/>
  <c r="L77" i="6"/>
  <c r="F78" i="6"/>
  <c r="G78" i="6"/>
  <c r="H78" i="6"/>
  <c r="I78" i="6"/>
  <c r="J78" i="6"/>
  <c r="K78" i="6"/>
  <c r="L78" i="6"/>
  <c r="F79" i="6"/>
  <c r="G79" i="6"/>
  <c r="H79" i="6"/>
  <c r="I79" i="6"/>
  <c r="J79" i="6"/>
  <c r="K79" i="6"/>
  <c r="L79" i="6"/>
  <c r="F80" i="6"/>
  <c r="G80" i="6"/>
  <c r="H80" i="6"/>
  <c r="I80" i="6"/>
  <c r="J80" i="6"/>
  <c r="K80" i="6"/>
  <c r="L80" i="6"/>
  <c r="F81" i="6"/>
  <c r="G81" i="6"/>
  <c r="H81" i="6"/>
  <c r="I81" i="6"/>
  <c r="J81" i="6"/>
  <c r="K81" i="6"/>
  <c r="L81" i="6"/>
  <c r="F82" i="6"/>
  <c r="G82" i="6"/>
  <c r="H82" i="6"/>
  <c r="I82" i="6"/>
  <c r="J82" i="6"/>
  <c r="K82" i="6"/>
  <c r="L82" i="6"/>
  <c r="F83" i="6"/>
  <c r="G83" i="6"/>
  <c r="H83" i="6"/>
  <c r="I83" i="6"/>
  <c r="J83" i="6"/>
  <c r="K83" i="6"/>
  <c r="L83" i="6"/>
  <c r="F84" i="6"/>
  <c r="G84" i="6"/>
  <c r="H84" i="6"/>
  <c r="I84" i="6"/>
  <c r="J84" i="6"/>
  <c r="K84" i="6"/>
  <c r="L84" i="6"/>
  <c r="F85" i="6"/>
  <c r="G85" i="6"/>
  <c r="H85" i="6"/>
  <c r="I85" i="6"/>
  <c r="J85" i="6"/>
  <c r="K85" i="6"/>
  <c r="L85" i="6"/>
  <c r="F86" i="6"/>
  <c r="G86" i="6"/>
  <c r="H86" i="6"/>
  <c r="I86" i="6"/>
  <c r="J86" i="6"/>
  <c r="K86" i="6"/>
  <c r="L86" i="6"/>
  <c r="F87" i="6"/>
  <c r="G87" i="6"/>
  <c r="H87" i="6"/>
  <c r="I87" i="6"/>
  <c r="J87" i="6"/>
  <c r="K87" i="6"/>
  <c r="L87" i="6"/>
  <c r="F88" i="6"/>
  <c r="G88" i="6"/>
  <c r="H88" i="6"/>
  <c r="I88" i="6"/>
  <c r="J88" i="6"/>
  <c r="K88" i="6"/>
  <c r="L88" i="6"/>
  <c r="F89" i="6"/>
  <c r="G89" i="6"/>
  <c r="H89" i="6"/>
  <c r="I89" i="6"/>
  <c r="J89" i="6"/>
  <c r="K89" i="6"/>
  <c r="L89" i="6"/>
  <c r="F90" i="6"/>
  <c r="G90" i="6"/>
  <c r="H90" i="6"/>
  <c r="I90" i="6"/>
  <c r="J90" i="6"/>
  <c r="K90" i="6"/>
  <c r="L90" i="6"/>
  <c r="F91" i="6"/>
  <c r="G91" i="6"/>
  <c r="H91" i="6"/>
  <c r="I91" i="6"/>
  <c r="J91" i="6"/>
  <c r="K91" i="6"/>
  <c r="L91" i="6"/>
  <c r="F92" i="6"/>
  <c r="G92" i="6"/>
  <c r="H92" i="6"/>
  <c r="I92" i="6"/>
  <c r="J92" i="6"/>
  <c r="K92" i="6"/>
  <c r="L92" i="6"/>
  <c r="F93" i="6"/>
  <c r="G93" i="6"/>
  <c r="H93" i="6"/>
  <c r="I93" i="6"/>
  <c r="J93" i="6"/>
  <c r="K93" i="6"/>
  <c r="L93" i="6"/>
  <c r="F94" i="6"/>
  <c r="G94" i="6"/>
  <c r="H94" i="6"/>
  <c r="I94" i="6"/>
  <c r="J94" i="6"/>
  <c r="K94" i="6"/>
  <c r="L94" i="6"/>
  <c r="F95" i="6"/>
  <c r="G95" i="6"/>
  <c r="H95" i="6"/>
  <c r="I95" i="6"/>
  <c r="J95" i="6"/>
  <c r="K95" i="6"/>
  <c r="L95" i="6"/>
  <c r="F96" i="6"/>
  <c r="G96" i="6"/>
  <c r="H96" i="6"/>
  <c r="I96" i="6"/>
  <c r="J96" i="6"/>
  <c r="K96" i="6"/>
  <c r="L96" i="6"/>
  <c r="F97" i="6"/>
  <c r="G97" i="6"/>
  <c r="H97" i="6"/>
  <c r="I97" i="6"/>
  <c r="J97" i="6"/>
  <c r="K97" i="6"/>
  <c r="L97" i="6"/>
  <c r="F98" i="6"/>
  <c r="G98" i="6"/>
  <c r="H98" i="6"/>
  <c r="I98" i="6"/>
  <c r="J98" i="6"/>
  <c r="K98" i="6"/>
  <c r="L98" i="6"/>
  <c r="F99" i="6"/>
  <c r="G99" i="6"/>
  <c r="H99" i="6"/>
  <c r="I99" i="6"/>
  <c r="J99" i="6"/>
  <c r="K99" i="6"/>
  <c r="L99" i="6"/>
  <c r="G3" i="6"/>
  <c r="H3" i="6"/>
  <c r="I3" i="6"/>
  <c r="J3" i="6"/>
  <c r="K3" i="6"/>
  <c r="L3" i="6"/>
  <c r="G7" i="4"/>
  <c r="Y4" i="6"/>
  <c r="T4" i="6"/>
  <c r="AC4" i="6"/>
  <c r="V4" i="6"/>
  <c r="AF5" i="6"/>
  <c r="AF6" i="6"/>
  <c r="AF7" i="6"/>
  <c r="AF8" i="6"/>
  <c r="AF9" i="6"/>
  <c r="AF10" i="6"/>
  <c r="AF11" i="6"/>
  <c r="AF12" i="6"/>
  <c r="AF13" i="6"/>
  <c r="AF14" i="6"/>
  <c r="AF15" i="6"/>
  <c r="AF16" i="6"/>
  <c r="AF17" i="6"/>
  <c r="AF18" i="6"/>
  <c r="AF19" i="6"/>
  <c r="AF20" i="6"/>
  <c r="AF21" i="6"/>
  <c r="AF22" i="6"/>
  <c r="AF23" i="6"/>
  <c r="AF24" i="6"/>
  <c r="AF25" i="6"/>
  <c r="AF26" i="6"/>
  <c r="AF27" i="6"/>
  <c r="AF28" i="6"/>
  <c r="AF29" i="6"/>
  <c r="AF30" i="6"/>
  <c r="AF31" i="6"/>
  <c r="AF32" i="6"/>
  <c r="AF33" i="6"/>
  <c r="AF34" i="6"/>
  <c r="AF35" i="6"/>
  <c r="AF36" i="6"/>
  <c r="AF37" i="6"/>
  <c r="AF38" i="6"/>
  <c r="AF39" i="6"/>
  <c r="AF40" i="6"/>
  <c r="AF41" i="6"/>
  <c r="AF42" i="6"/>
  <c r="AF43" i="6"/>
  <c r="AF44" i="6"/>
  <c r="AF45" i="6"/>
  <c r="AF46" i="6"/>
  <c r="AF47" i="6"/>
  <c r="AF48" i="6"/>
  <c r="AF49" i="6"/>
  <c r="AF50" i="6"/>
  <c r="AF51" i="6"/>
  <c r="AF52" i="6"/>
  <c r="AF53" i="6"/>
  <c r="AF54" i="6"/>
  <c r="AF55" i="6"/>
  <c r="AF56" i="6"/>
  <c r="AF57" i="6"/>
  <c r="AF58" i="6"/>
  <c r="AF59" i="6"/>
  <c r="AF60" i="6"/>
  <c r="AF61" i="6"/>
  <c r="AF62" i="6"/>
  <c r="AF63" i="6"/>
  <c r="AF64" i="6"/>
  <c r="AF65" i="6"/>
  <c r="AF66" i="6"/>
  <c r="AF67" i="6"/>
  <c r="AF68" i="6"/>
  <c r="AF69" i="6"/>
  <c r="AF70" i="6"/>
  <c r="AF71" i="6"/>
  <c r="AF72" i="6"/>
  <c r="AF73" i="6"/>
  <c r="AF74" i="6"/>
  <c r="AF75" i="6"/>
  <c r="AF76" i="6"/>
  <c r="AF77" i="6"/>
  <c r="AF78" i="6"/>
  <c r="AF79" i="6"/>
  <c r="AF80" i="6"/>
  <c r="AF81" i="6"/>
  <c r="AF82" i="6"/>
  <c r="AF83" i="6"/>
  <c r="AF84" i="6"/>
  <c r="AF85" i="6"/>
  <c r="AF86" i="6"/>
  <c r="AF87" i="6"/>
  <c r="AF88" i="6"/>
  <c r="AF89" i="6"/>
  <c r="AF90" i="6"/>
  <c r="AF91" i="6"/>
  <c r="AF92" i="6"/>
  <c r="AF93" i="6"/>
  <c r="AF94" i="6"/>
  <c r="AF95" i="6"/>
  <c r="AF96" i="6"/>
  <c r="AF97" i="6"/>
  <c r="AF98" i="6"/>
  <c r="AF99" i="6"/>
  <c r="AF100" i="6"/>
  <c r="AF101" i="6"/>
  <c r="AF102" i="6"/>
  <c r="AF103" i="6"/>
  <c r="AF104" i="6"/>
  <c r="AF105" i="6"/>
  <c r="AF106" i="6"/>
  <c r="AF107" i="6"/>
  <c r="AF108" i="6"/>
  <c r="AF109" i="6"/>
  <c r="AF110" i="6"/>
  <c r="AF111" i="6"/>
  <c r="AF112" i="6"/>
  <c r="AF113" i="6"/>
  <c r="AF114" i="6"/>
  <c r="AF115" i="6"/>
  <c r="AF116" i="6"/>
  <c r="AF117" i="6"/>
  <c r="AF118" i="6"/>
  <c r="AF119" i="6"/>
  <c r="AF120" i="6"/>
  <c r="AF121" i="6"/>
  <c r="AF122" i="6"/>
  <c r="AF123" i="6"/>
  <c r="AF124" i="6"/>
  <c r="AF125" i="6"/>
  <c r="AF126" i="6"/>
  <c r="AF127" i="6"/>
  <c r="AF128" i="6"/>
  <c r="AF129" i="6"/>
  <c r="AC6" i="6"/>
  <c r="AC7" i="6"/>
  <c r="AC8" i="6"/>
  <c r="AC9" i="6"/>
  <c r="AC10" i="6"/>
  <c r="AC11" i="6"/>
  <c r="AC12" i="6"/>
  <c r="AC13" i="6"/>
  <c r="AC14" i="6"/>
  <c r="AC15" i="6"/>
  <c r="AC16" i="6"/>
  <c r="AC17" i="6"/>
  <c r="AC18" i="6"/>
  <c r="AC19" i="6"/>
  <c r="AC20" i="6"/>
  <c r="AC21" i="6"/>
  <c r="AC22" i="6"/>
  <c r="AC23" i="6"/>
  <c r="AC24" i="6"/>
  <c r="AC25" i="6"/>
  <c r="AC26" i="6"/>
  <c r="AC27" i="6"/>
  <c r="AC28" i="6"/>
  <c r="AC29" i="6"/>
  <c r="AC30" i="6"/>
  <c r="AC31" i="6"/>
  <c r="AC32" i="6"/>
  <c r="AC33" i="6"/>
  <c r="AC34" i="6"/>
  <c r="AC35" i="6"/>
  <c r="AC36" i="6"/>
  <c r="AC37" i="6"/>
  <c r="AC38" i="6"/>
  <c r="AC39" i="6"/>
  <c r="AC40" i="6"/>
  <c r="AC41" i="6"/>
  <c r="AC42" i="6"/>
  <c r="AC43" i="6"/>
  <c r="AC44" i="6"/>
  <c r="AC45" i="6"/>
  <c r="AC46" i="6"/>
  <c r="AC47" i="6"/>
  <c r="AC48" i="6"/>
  <c r="AC49" i="6"/>
  <c r="AC50" i="6"/>
  <c r="AC51" i="6"/>
  <c r="AC52" i="6"/>
  <c r="AC53" i="6"/>
  <c r="AC54" i="6"/>
  <c r="AC55" i="6"/>
  <c r="AC56" i="6"/>
  <c r="AC57" i="6"/>
  <c r="AC58" i="6"/>
  <c r="AC59" i="6"/>
  <c r="AC60" i="6"/>
  <c r="AC61" i="6"/>
  <c r="AC62" i="6"/>
  <c r="AC63" i="6"/>
  <c r="AC64" i="6"/>
  <c r="AC65" i="6"/>
  <c r="AC66" i="6"/>
  <c r="AC67" i="6"/>
  <c r="AC68" i="6"/>
  <c r="AC69" i="6"/>
  <c r="AC70" i="6"/>
  <c r="AC71" i="6"/>
  <c r="AC72" i="6"/>
  <c r="AC73" i="6"/>
  <c r="AC74" i="6"/>
  <c r="AC75" i="6"/>
  <c r="AC76" i="6"/>
  <c r="AC77" i="6"/>
  <c r="AC78" i="6"/>
  <c r="AC79" i="6"/>
  <c r="AC80" i="6"/>
  <c r="AC81" i="6"/>
  <c r="AC82" i="6"/>
  <c r="AC83" i="6"/>
  <c r="AC84" i="6"/>
  <c r="AC85" i="6"/>
  <c r="AC86" i="6"/>
  <c r="AC87" i="6"/>
  <c r="AC88" i="6"/>
  <c r="AC89" i="6"/>
  <c r="AC90" i="6"/>
  <c r="AC91" i="6"/>
  <c r="AC92" i="6"/>
  <c r="AC93" i="6"/>
  <c r="AC94" i="6"/>
  <c r="AC95" i="6"/>
  <c r="AC96" i="6"/>
  <c r="AC97" i="6"/>
  <c r="AC98" i="6"/>
  <c r="AC99" i="6"/>
  <c r="AC100" i="6"/>
  <c r="AC101" i="6"/>
  <c r="AC102" i="6"/>
  <c r="AC103" i="6"/>
  <c r="AC104" i="6"/>
  <c r="AC105" i="6"/>
  <c r="AC106" i="6"/>
  <c r="AC107" i="6"/>
  <c r="AC108" i="6"/>
  <c r="AC109" i="6"/>
  <c r="AC110" i="6"/>
  <c r="AC111" i="6"/>
  <c r="AC112" i="6"/>
  <c r="AC113" i="6"/>
  <c r="AC114" i="6"/>
  <c r="AC115" i="6"/>
  <c r="AC116" i="6"/>
  <c r="AC117" i="6"/>
  <c r="AC118" i="6"/>
  <c r="AC119" i="6"/>
  <c r="AC120" i="6"/>
  <c r="AC121" i="6"/>
  <c r="AC122" i="6"/>
  <c r="AC123" i="6"/>
  <c r="AC124" i="6"/>
  <c r="AC125" i="6"/>
  <c r="AC126" i="6"/>
  <c r="AC127" i="6"/>
  <c r="AC128" i="6"/>
  <c r="AC129" i="6"/>
  <c r="AC130" i="6"/>
  <c r="AC131" i="6"/>
  <c r="AC132" i="6"/>
  <c r="AC133" i="6"/>
  <c r="AC134" i="6"/>
  <c r="Y5" i="6"/>
  <c r="Y6" i="6"/>
  <c r="Y7" i="6"/>
  <c r="Y8" i="6"/>
  <c r="Y9" i="6"/>
  <c r="Y10" i="6"/>
  <c r="Y11" i="6"/>
  <c r="Y12" i="6"/>
  <c r="Y13" i="6"/>
  <c r="Y14" i="6"/>
  <c r="Y15" i="6"/>
  <c r="Y16" i="6"/>
  <c r="Y17" i="6"/>
  <c r="Y18" i="6"/>
  <c r="Y19" i="6"/>
  <c r="Y20" i="6"/>
  <c r="Y21" i="6"/>
  <c r="Y22" i="6"/>
  <c r="Y23" i="6"/>
  <c r="Y24" i="6"/>
  <c r="Y25" i="6"/>
  <c r="Y26" i="6"/>
  <c r="Y27" i="6"/>
  <c r="Y28" i="6"/>
  <c r="Y29" i="6"/>
  <c r="Y30" i="6"/>
  <c r="Y31" i="6"/>
  <c r="Y32" i="6"/>
  <c r="Y33" i="6"/>
  <c r="Y34" i="6"/>
  <c r="Y35" i="6"/>
  <c r="Y36" i="6"/>
  <c r="Y37" i="6"/>
  <c r="Y38" i="6"/>
  <c r="Y39" i="6"/>
  <c r="Y40" i="6"/>
  <c r="Y41" i="6"/>
  <c r="Y42" i="6"/>
  <c r="Y43" i="6"/>
  <c r="Y44" i="6"/>
  <c r="Y45" i="6"/>
  <c r="Y46" i="6"/>
  <c r="Y47" i="6"/>
  <c r="Y48" i="6"/>
  <c r="Y49" i="6"/>
  <c r="Y50" i="6"/>
  <c r="Y51" i="6"/>
  <c r="Y52" i="6"/>
  <c r="Y53" i="6"/>
  <c r="Y54" i="6"/>
  <c r="Y55" i="6"/>
  <c r="Y56" i="6"/>
  <c r="Y57" i="6"/>
  <c r="Y58" i="6"/>
  <c r="Y59" i="6"/>
  <c r="Y60" i="6"/>
  <c r="Y61" i="6"/>
  <c r="Y62" i="6"/>
  <c r="Y63" i="6"/>
  <c r="Y64" i="6"/>
  <c r="Y65" i="6"/>
  <c r="Y66" i="6"/>
  <c r="Y67" i="6"/>
  <c r="Y68" i="6"/>
  <c r="Y69" i="6"/>
  <c r="Y70" i="6"/>
  <c r="Y71" i="6"/>
  <c r="Y72" i="6"/>
  <c r="Y73" i="6"/>
  <c r="Y74" i="6"/>
  <c r="Y75" i="6"/>
  <c r="Y76" i="6"/>
  <c r="Y77" i="6"/>
  <c r="Y78" i="6"/>
  <c r="Y79" i="6"/>
  <c r="Y80" i="6"/>
  <c r="Y81" i="6"/>
  <c r="Y82" i="6"/>
  <c r="Y83" i="6"/>
  <c r="Y84" i="6"/>
  <c r="Y85" i="6"/>
  <c r="Y86" i="6"/>
  <c r="Y87" i="6"/>
  <c r="Y88" i="6"/>
  <c r="Y89" i="6"/>
  <c r="Y90" i="6"/>
  <c r="Y91" i="6"/>
  <c r="Y92" i="6"/>
  <c r="Y93" i="6"/>
  <c r="Y94" i="6"/>
  <c r="Y95" i="6"/>
  <c r="Y96" i="6"/>
  <c r="Y97" i="6"/>
  <c r="Y98" i="6"/>
  <c r="Y99" i="6"/>
  <c r="Y100" i="6"/>
  <c r="Y101" i="6"/>
  <c r="Y102" i="6"/>
  <c r="Y103" i="6"/>
  <c r="Y104" i="6"/>
  <c r="Y105" i="6"/>
  <c r="Y106" i="6"/>
  <c r="Y107" i="6"/>
  <c r="Y108" i="6"/>
  <c r="Y109" i="6"/>
  <c r="Y110" i="6"/>
  <c r="Y111" i="6"/>
  <c r="Y112" i="6"/>
  <c r="Y113" i="6"/>
  <c r="Y114" i="6"/>
  <c r="Y115" i="6"/>
  <c r="Y116" i="6"/>
  <c r="Y117" i="6"/>
  <c r="Y118" i="6"/>
  <c r="Y119" i="6"/>
  <c r="Y120" i="6"/>
  <c r="Y121" i="6"/>
  <c r="Y122" i="6"/>
  <c r="Y123" i="6"/>
  <c r="Y124" i="6"/>
  <c r="Y125" i="6"/>
  <c r="Y126" i="6"/>
  <c r="Y127" i="6"/>
  <c r="Y128" i="6"/>
  <c r="Y129" i="6"/>
  <c r="Y130" i="6"/>
  <c r="Y131" i="6"/>
  <c r="Y132" i="6"/>
  <c r="Y133" i="6"/>
  <c r="Y134" i="6"/>
  <c r="V5" i="6"/>
  <c r="V6" i="6"/>
  <c r="V7" i="6"/>
  <c r="V8" i="6"/>
  <c r="V9" i="6"/>
  <c r="V10" i="6"/>
  <c r="V11" i="6"/>
  <c r="V12" i="6"/>
  <c r="V13" i="6"/>
  <c r="V14" i="6"/>
  <c r="V15" i="6"/>
  <c r="V16" i="6"/>
  <c r="V17" i="6"/>
  <c r="V18" i="6"/>
  <c r="V19" i="6"/>
  <c r="V20" i="6"/>
  <c r="V21" i="6"/>
  <c r="V22" i="6"/>
  <c r="V23" i="6"/>
  <c r="V24" i="6"/>
  <c r="V25" i="6"/>
  <c r="V26" i="6"/>
  <c r="V27" i="6"/>
  <c r="V28" i="6"/>
  <c r="V29" i="6"/>
  <c r="V30" i="6"/>
  <c r="V31" i="6"/>
  <c r="V32" i="6"/>
  <c r="V33" i="6"/>
  <c r="V34" i="6"/>
  <c r="V35" i="6"/>
  <c r="V36" i="6"/>
  <c r="V37" i="6"/>
  <c r="V38" i="6"/>
  <c r="V39" i="6"/>
  <c r="V40" i="6"/>
  <c r="V41" i="6"/>
  <c r="V42" i="6"/>
  <c r="V43" i="6"/>
  <c r="V44" i="6"/>
  <c r="V45" i="6"/>
  <c r="V46" i="6"/>
  <c r="V47" i="6"/>
  <c r="V48" i="6"/>
  <c r="V49" i="6"/>
  <c r="V50" i="6"/>
  <c r="V51" i="6"/>
  <c r="V52" i="6"/>
  <c r="V53" i="6"/>
  <c r="V54" i="6"/>
  <c r="V55" i="6"/>
  <c r="V56" i="6"/>
  <c r="V57" i="6"/>
  <c r="V58" i="6"/>
  <c r="V59" i="6"/>
  <c r="V60" i="6"/>
  <c r="V61" i="6"/>
  <c r="V62" i="6"/>
  <c r="V63" i="6"/>
  <c r="V64" i="6"/>
  <c r="V65" i="6"/>
  <c r="V66" i="6"/>
  <c r="V67" i="6"/>
  <c r="V68" i="6"/>
  <c r="V69" i="6"/>
  <c r="V70" i="6"/>
  <c r="V71" i="6"/>
  <c r="V72" i="6"/>
  <c r="V73" i="6"/>
  <c r="V74" i="6"/>
  <c r="V75" i="6"/>
  <c r="V76" i="6"/>
  <c r="V77" i="6"/>
  <c r="V78" i="6"/>
  <c r="V79" i="6"/>
  <c r="V80" i="6"/>
  <c r="V81" i="6"/>
  <c r="V82" i="6"/>
  <c r="V83" i="6"/>
  <c r="V84" i="6"/>
  <c r="V85" i="6"/>
  <c r="V86" i="6"/>
  <c r="V87" i="6"/>
  <c r="V88" i="6"/>
  <c r="V89" i="6"/>
  <c r="V90" i="6"/>
  <c r="V91" i="6"/>
  <c r="V92" i="6"/>
  <c r="V93" i="6"/>
  <c r="V94" i="6"/>
  <c r="V95" i="6"/>
  <c r="V96" i="6"/>
  <c r="V97" i="6"/>
  <c r="V98" i="6"/>
  <c r="V99" i="6"/>
  <c r="V100" i="6"/>
  <c r="V101" i="6"/>
  <c r="V102" i="6"/>
  <c r="V103" i="6"/>
  <c r="V104" i="6"/>
  <c r="V105" i="6"/>
  <c r="V106" i="6"/>
  <c r="V107" i="6"/>
  <c r="V108" i="6"/>
  <c r="V109" i="6"/>
  <c r="V110" i="6"/>
  <c r="V111" i="6"/>
  <c r="V112" i="6"/>
  <c r="V113" i="6"/>
  <c r="V114" i="6"/>
  <c r="V115" i="6"/>
  <c r="V116" i="6"/>
  <c r="V117" i="6"/>
  <c r="V118" i="6"/>
  <c r="V119" i="6"/>
  <c r="V120" i="6"/>
  <c r="V121" i="6"/>
  <c r="V122" i="6"/>
  <c r="V123" i="6"/>
  <c r="V124" i="6"/>
  <c r="V125" i="6"/>
  <c r="V126" i="6"/>
  <c r="V127" i="6"/>
  <c r="V128" i="6"/>
  <c r="V129" i="6"/>
  <c r="V130" i="6"/>
  <c r="V131" i="6"/>
  <c r="V132" i="6"/>
  <c r="V133" i="6"/>
  <c r="V134" i="6"/>
  <c r="T5" i="6"/>
  <c r="T6" i="6"/>
  <c r="T7" i="6"/>
  <c r="T8" i="6"/>
  <c r="T9" i="6"/>
  <c r="T10" i="6"/>
  <c r="T11" i="6"/>
  <c r="T12" i="6"/>
  <c r="T13" i="6"/>
  <c r="T14" i="6"/>
  <c r="T15" i="6"/>
  <c r="T16" i="6"/>
  <c r="T17" i="6"/>
  <c r="T18" i="6"/>
  <c r="T19" i="6"/>
  <c r="T20" i="6"/>
  <c r="T21" i="6"/>
  <c r="T22" i="6"/>
  <c r="T23" i="6"/>
  <c r="T24" i="6"/>
  <c r="T25" i="6"/>
  <c r="T26" i="6"/>
  <c r="T27" i="6"/>
  <c r="T28" i="6"/>
  <c r="T29" i="6"/>
  <c r="T30" i="6"/>
  <c r="T31" i="6"/>
  <c r="T32" i="6"/>
  <c r="T33" i="6"/>
  <c r="T34" i="6"/>
  <c r="T35" i="6"/>
  <c r="T36" i="6"/>
  <c r="T37" i="6"/>
  <c r="T38" i="6"/>
  <c r="T39" i="6"/>
  <c r="T40" i="6"/>
  <c r="T41" i="6"/>
  <c r="T42" i="6"/>
  <c r="T43" i="6"/>
  <c r="T44" i="6"/>
  <c r="T45" i="6"/>
  <c r="T46" i="6"/>
  <c r="T47" i="6"/>
  <c r="T48" i="6"/>
  <c r="T49" i="6"/>
  <c r="T50" i="6"/>
  <c r="T51" i="6"/>
  <c r="T52" i="6"/>
  <c r="T53" i="6"/>
  <c r="T54" i="6"/>
  <c r="T55" i="6"/>
  <c r="T56" i="6"/>
  <c r="T57" i="6"/>
  <c r="T58" i="6"/>
  <c r="T59" i="6"/>
  <c r="T60" i="6"/>
  <c r="T61" i="6"/>
  <c r="T62" i="6"/>
  <c r="T63" i="6"/>
  <c r="T64" i="6"/>
  <c r="T65" i="6"/>
  <c r="T66" i="6"/>
  <c r="T67" i="6"/>
  <c r="T68" i="6"/>
  <c r="T69" i="6"/>
  <c r="T70" i="6"/>
  <c r="T71" i="6"/>
  <c r="T72" i="6"/>
  <c r="T73" i="6"/>
  <c r="T74" i="6"/>
  <c r="T75" i="6"/>
  <c r="T76" i="6"/>
  <c r="T77" i="6"/>
  <c r="T78" i="6"/>
  <c r="T79" i="6"/>
  <c r="T80" i="6"/>
  <c r="T81" i="6"/>
  <c r="T82" i="6"/>
  <c r="T83" i="6"/>
  <c r="T84" i="6"/>
  <c r="T85" i="6"/>
  <c r="T86" i="6"/>
  <c r="T87" i="6"/>
  <c r="T88" i="6"/>
  <c r="T89" i="6"/>
  <c r="T90" i="6"/>
  <c r="T91" i="6"/>
  <c r="T92" i="6"/>
  <c r="T93" i="6"/>
  <c r="T94" i="6"/>
  <c r="T95" i="6"/>
  <c r="T96" i="6"/>
  <c r="T97" i="6"/>
  <c r="T98" i="6"/>
  <c r="T99" i="6"/>
  <c r="T100" i="6"/>
  <c r="T101" i="6"/>
  <c r="T102" i="6"/>
  <c r="T103" i="6"/>
  <c r="T104" i="6"/>
  <c r="T105" i="6"/>
  <c r="T106" i="6"/>
  <c r="T107" i="6"/>
  <c r="T108" i="6"/>
  <c r="T109" i="6"/>
  <c r="T110" i="6"/>
  <c r="T111" i="6"/>
  <c r="T112" i="6"/>
  <c r="T113" i="6"/>
  <c r="T114" i="6"/>
  <c r="T115" i="6"/>
  <c r="T116" i="6"/>
  <c r="T117" i="6"/>
  <c r="T118" i="6"/>
  <c r="T119" i="6"/>
  <c r="T120" i="6"/>
  <c r="T121" i="6"/>
  <c r="T122" i="6"/>
  <c r="T123" i="6"/>
  <c r="T124" i="6"/>
  <c r="T125" i="6"/>
  <c r="T126" i="6"/>
  <c r="T127" i="6"/>
  <c r="T128" i="6"/>
  <c r="T129" i="6"/>
  <c r="T130" i="6"/>
  <c r="T131" i="6"/>
  <c r="T132" i="6"/>
  <c r="T133" i="6"/>
  <c r="T134" i="6"/>
  <c r="R5" i="6"/>
  <c r="R6" i="6"/>
  <c r="R7" i="6"/>
  <c r="R8" i="6"/>
  <c r="R9" i="6"/>
  <c r="R10" i="6"/>
  <c r="R11" i="6"/>
  <c r="R12" i="6"/>
  <c r="R13" i="6"/>
  <c r="R14" i="6"/>
  <c r="R15" i="6"/>
  <c r="R16" i="6"/>
  <c r="R17" i="6"/>
  <c r="R18" i="6"/>
  <c r="R19" i="6"/>
  <c r="R20" i="6"/>
  <c r="R21" i="6"/>
  <c r="R22" i="6"/>
  <c r="R23" i="6"/>
  <c r="R24" i="6"/>
  <c r="R25" i="6"/>
  <c r="R26" i="6"/>
  <c r="R27" i="6"/>
  <c r="R28" i="6"/>
  <c r="R29" i="6"/>
  <c r="R30" i="6"/>
  <c r="R31" i="6"/>
  <c r="R32" i="6"/>
  <c r="R33" i="6"/>
  <c r="R34" i="6"/>
  <c r="R35" i="6"/>
  <c r="R36" i="6"/>
  <c r="R37" i="6"/>
  <c r="R38" i="6"/>
  <c r="R39" i="6"/>
  <c r="R40" i="6"/>
  <c r="R41" i="6"/>
  <c r="R42" i="6"/>
  <c r="R43" i="6"/>
  <c r="R44" i="6"/>
  <c r="R45" i="6"/>
  <c r="R46" i="6"/>
  <c r="R47" i="6"/>
  <c r="R48" i="6"/>
  <c r="R49" i="6"/>
  <c r="R50" i="6"/>
  <c r="R51" i="6"/>
  <c r="R52" i="6"/>
  <c r="R53" i="6"/>
  <c r="R54" i="6"/>
  <c r="R55" i="6"/>
  <c r="R56" i="6"/>
  <c r="R57" i="6"/>
  <c r="R58" i="6"/>
  <c r="R59" i="6"/>
  <c r="R60" i="6"/>
  <c r="R61" i="6"/>
  <c r="R62" i="6"/>
  <c r="R63" i="6"/>
  <c r="R64" i="6"/>
  <c r="R65" i="6"/>
  <c r="R66" i="6"/>
  <c r="R67" i="6"/>
  <c r="R68" i="6"/>
  <c r="R69" i="6"/>
  <c r="R70" i="6"/>
  <c r="R71" i="6"/>
  <c r="R72" i="6"/>
  <c r="R73" i="6"/>
  <c r="R74" i="6"/>
  <c r="R75" i="6"/>
  <c r="R76" i="6"/>
  <c r="R77" i="6"/>
  <c r="R78" i="6"/>
  <c r="R79" i="6"/>
  <c r="R80" i="6"/>
  <c r="R81" i="6"/>
  <c r="R82" i="6"/>
  <c r="R83" i="6"/>
  <c r="R84" i="6"/>
  <c r="R85" i="6"/>
  <c r="R86" i="6"/>
  <c r="R87" i="6"/>
  <c r="R88" i="6"/>
  <c r="R89" i="6"/>
  <c r="R90" i="6"/>
  <c r="R91" i="6"/>
  <c r="R92" i="6"/>
  <c r="R93" i="6"/>
  <c r="R94" i="6"/>
  <c r="R95" i="6"/>
  <c r="R96" i="6"/>
  <c r="R97" i="6"/>
  <c r="R98" i="6"/>
  <c r="R99" i="6"/>
  <c r="R100" i="6"/>
  <c r="R101" i="6"/>
  <c r="R102" i="6"/>
  <c r="R103" i="6"/>
  <c r="R104" i="6"/>
  <c r="R105" i="6"/>
  <c r="R106" i="6"/>
  <c r="R107" i="6"/>
  <c r="R108" i="6"/>
  <c r="R109" i="6"/>
  <c r="R110" i="6"/>
  <c r="R111" i="6"/>
  <c r="R112" i="6"/>
  <c r="R113" i="6"/>
  <c r="R114" i="6"/>
  <c r="R115" i="6"/>
  <c r="R116" i="6"/>
  <c r="R117" i="6"/>
  <c r="R118" i="6"/>
  <c r="R119" i="6"/>
  <c r="R120" i="6"/>
  <c r="R121" i="6"/>
  <c r="R122" i="6"/>
  <c r="R123" i="6"/>
  <c r="R124" i="6"/>
  <c r="R125" i="6"/>
  <c r="R126" i="6"/>
  <c r="R127" i="6"/>
  <c r="R128" i="6"/>
  <c r="R129" i="6"/>
  <c r="R130" i="6"/>
  <c r="R131" i="6"/>
  <c r="R132" i="6"/>
  <c r="R133" i="6"/>
  <c r="R134" i="6"/>
  <c r="F3" i="6"/>
  <c r="N4" i="4"/>
  <c r="N5" i="4"/>
  <c r="N6" i="4"/>
  <c r="N7" i="4"/>
  <c r="N8" i="4"/>
  <c r="N9" i="4"/>
  <c r="N10" i="4"/>
  <c r="N11" i="4"/>
  <c r="N12" i="4"/>
  <c r="N13" i="4"/>
  <c r="N14" i="4"/>
  <c r="N15" i="4"/>
  <c r="N16" i="4"/>
  <c r="N17" i="4"/>
  <c r="N18" i="4"/>
  <c r="N19" i="4"/>
  <c r="N20" i="4"/>
  <c r="N21" i="4"/>
  <c r="N22" i="4"/>
  <c r="N23" i="4"/>
  <c r="N24" i="4"/>
  <c r="N25" i="4"/>
  <c r="N26" i="4"/>
  <c r="N27" i="4"/>
  <c r="N28" i="4"/>
  <c r="N29" i="4"/>
  <c r="N30" i="4"/>
  <c r="N31" i="4"/>
  <c r="N32" i="4"/>
  <c r="N33" i="4"/>
  <c r="N34" i="4"/>
  <c r="N35" i="4"/>
  <c r="N36" i="4"/>
  <c r="N37" i="4"/>
  <c r="N38" i="4"/>
  <c r="N39" i="4"/>
  <c r="N40" i="4"/>
  <c r="N41" i="4"/>
  <c r="N42" i="4"/>
  <c r="N43" i="4"/>
  <c r="N44" i="4"/>
  <c r="N45" i="4"/>
  <c r="N46" i="4"/>
  <c r="N47" i="4"/>
  <c r="N48" i="4"/>
  <c r="N49" i="4"/>
  <c r="N50" i="4"/>
  <c r="N51" i="4"/>
  <c r="N52" i="4"/>
  <c r="N53" i="4"/>
  <c r="N54" i="4"/>
  <c r="N55" i="4"/>
  <c r="N56" i="4"/>
  <c r="N57" i="4"/>
  <c r="N58" i="4"/>
  <c r="N59" i="4"/>
  <c r="N60" i="4"/>
  <c r="N61" i="4"/>
  <c r="N62" i="4"/>
  <c r="N63" i="4"/>
  <c r="N64" i="4"/>
  <c r="N65" i="4"/>
  <c r="N66" i="4"/>
  <c r="N67" i="4"/>
  <c r="N68" i="4"/>
  <c r="N69" i="4"/>
  <c r="N70" i="4"/>
  <c r="N71" i="4"/>
  <c r="N72" i="4"/>
  <c r="N73" i="4"/>
  <c r="N74" i="4"/>
  <c r="N75" i="4"/>
  <c r="N76" i="4"/>
  <c r="N77" i="4"/>
  <c r="N78" i="4"/>
  <c r="N79" i="4"/>
  <c r="N80" i="4"/>
  <c r="N81" i="4"/>
  <c r="N82" i="4"/>
  <c r="N83" i="4"/>
  <c r="N84" i="4"/>
  <c r="N85" i="4"/>
  <c r="N86" i="4"/>
  <c r="N87" i="4"/>
  <c r="N88" i="4"/>
  <c r="N89" i="4"/>
  <c r="N90" i="4"/>
  <c r="N91" i="4"/>
  <c r="N92" i="4"/>
  <c r="N93" i="4"/>
  <c r="N94" i="4"/>
  <c r="N95" i="4"/>
  <c r="N96" i="4"/>
  <c r="N97" i="4"/>
  <c r="N98" i="4"/>
  <c r="N99" i="4"/>
  <c r="N100" i="4"/>
  <c r="N101" i="4"/>
  <c r="N102" i="4"/>
  <c r="N103" i="4"/>
  <c r="N104" i="4"/>
  <c r="N105" i="4"/>
  <c r="N106" i="4"/>
  <c r="N107" i="4"/>
  <c r="N108" i="4"/>
  <c r="N109" i="4"/>
  <c r="N110" i="4"/>
  <c r="N111" i="4"/>
  <c r="N112" i="4"/>
  <c r="N113" i="4"/>
  <c r="N114" i="4"/>
  <c r="N115" i="4"/>
  <c r="N116" i="4"/>
  <c r="N117" i="4"/>
  <c r="N118" i="4"/>
  <c r="N119" i="4"/>
  <c r="N120" i="4"/>
  <c r="N121" i="4"/>
  <c r="N122" i="4"/>
  <c r="N123" i="4"/>
  <c r="N124" i="4"/>
  <c r="N125" i="4"/>
  <c r="N126" i="4"/>
  <c r="N127" i="4"/>
  <c r="N128" i="4"/>
  <c r="N129" i="4"/>
  <c r="N130" i="4"/>
  <c r="N131" i="4"/>
  <c r="N132" i="4"/>
  <c r="N133" i="4"/>
  <c r="N134" i="4"/>
  <c r="F4" i="4"/>
  <c r="L99" i="4"/>
  <c r="K99" i="4"/>
  <c r="J99" i="4"/>
  <c r="I99" i="4"/>
  <c r="H99" i="4"/>
  <c r="G99" i="4"/>
  <c r="F99" i="4"/>
  <c r="L98" i="4"/>
  <c r="K98" i="4"/>
  <c r="J98" i="4"/>
  <c r="I98" i="4"/>
  <c r="H98" i="4"/>
  <c r="G98" i="4"/>
  <c r="F98" i="4"/>
  <c r="L97" i="4"/>
  <c r="K97" i="4"/>
  <c r="J97" i="4"/>
  <c r="I97" i="4"/>
  <c r="H97" i="4"/>
  <c r="G97" i="4"/>
  <c r="F97" i="4"/>
  <c r="L96" i="4"/>
  <c r="K96" i="4"/>
  <c r="J96" i="4"/>
  <c r="I96" i="4"/>
  <c r="H96" i="4"/>
  <c r="G96" i="4"/>
  <c r="F96" i="4"/>
  <c r="L95" i="4"/>
  <c r="K95" i="4"/>
  <c r="J95" i="4"/>
  <c r="I95" i="4"/>
  <c r="H95" i="4"/>
  <c r="G95" i="4"/>
  <c r="F95" i="4"/>
  <c r="L94" i="4"/>
  <c r="K94" i="4"/>
  <c r="J94" i="4"/>
  <c r="I94" i="4"/>
  <c r="H94" i="4"/>
  <c r="G94" i="4"/>
  <c r="F94" i="4"/>
  <c r="L93" i="4"/>
  <c r="K93" i="4"/>
  <c r="J93" i="4"/>
  <c r="I93" i="4"/>
  <c r="H93" i="4"/>
  <c r="G93" i="4"/>
  <c r="F93" i="4"/>
  <c r="L92" i="4"/>
  <c r="K92" i="4"/>
  <c r="J92" i="4"/>
  <c r="I92" i="4"/>
  <c r="H92" i="4"/>
  <c r="G92" i="4"/>
  <c r="F92" i="4"/>
  <c r="L91" i="4"/>
  <c r="K91" i="4"/>
  <c r="J91" i="4"/>
  <c r="I91" i="4"/>
  <c r="H91" i="4"/>
  <c r="G91" i="4"/>
  <c r="F91" i="4"/>
  <c r="L90" i="4"/>
  <c r="K90" i="4"/>
  <c r="J90" i="4"/>
  <c r="I90" i="4"/>
  <c r="H90" i="4"/>
  <c r="G90" i="4"/>
  <c r="F90" i="4"/>
  <c r="L89" i="4"/>
  <c r="K89" i="4"/>
  <c r="J89" i="4"/>
  <c r="I89" i="4"/>
  <c r="H89" i="4"/>
  <c r="G89" i="4"/>
  <c r="F89" i="4"/>
  <c r="L88" i="4"/>
  <c r="K88" i="4"/>
  <c r="J88" i="4"/>
  <c r="I88" i="4"/>
  <c r="H88" i="4"/>
  <c r="G88" i="4"/>
  <c r="F88" i="4"/>
  <c r="L87" i="4"/>
  <c r="K87" i="4"/>
  <c r="J87" i="4"/>
  <c r="I87" i="4"/>
  <c r="H87" i="4"/>
  <c r="G87" i="4"/>
  <c r="F87" i="4"/>
  <c r="L86" i="4"/>
  <c r="K86" i="4"/>
  <c r="J86" i="4"/>
  <c r="I86" i="4"/>
  <c r="H86" i="4"/>
  <c r="G86" i="4"/>
  <c r="F86" i="4"/>
  <c r="L85" i="4"/>
  <c r="K85" i="4"/>
  <c r="J85" i="4"/>
  <c r="I85" i="4"/>
  <c r="H85" i="4"/>
  <c r="G85" i="4"/>
  <c r="F85" i="4"/>
  <c r="L84" i="4"/>
  <c r="K84" i="4"/>
  <c r="J84" i="4"/>
  <c r="I84" i="4"/>
  <c r="H84" i="4"/>
  <c r="G84" i="4"/>
  <c r="F84" i="4"/>
  <c r="L83" i="4"/>
  <c r="K83" i="4"/>
  <c r="J83" i="4"/>
  <c r="I83" i="4"/>
  <c r="H83" i="4"/>
  <c r="G83" i="4"/>
  <c r="F83" i="4"/>
  <c r="L82" i="4"/>
  <c r="K82" i="4"/>
  <c r="J82" i="4"/>
  <c r="I82" i="4"/>
  <c r="H82" i="4"/>
  <c r="G82" i="4"/>
  <c r="F82" i="4"/>
  <c r="L81" i="4"/>
  <c r="K81" i="4"/>
  <c r="J81" i="4"/>
  <c r="I81" i="4"/>
  <c r="H81" i="4"/>
  <c r="G81" i="4"/>
  <c r="F81" i="4"/>
  <c r="L80" i="4"/>
  <c r="K80" i="4"/>
  <c r="J80" i="4"/>
  <c r="I80" i="4"/>
  <c r="H80" i="4"/>
  <c r="G80" i="4"/>
  <c r="F80" i="4"/>
  <c r="L79" i="4"/>
  <c r="K79" i="4"/>
  <c r="J79" i="4"/>
  <c r="I79" i="4"/>
  <c r="H79" i="4"/>
  <c r="G79" i="4"/>
  <c r="F79" i="4"/>
  <c r="L78" i="4"/>
  <c r="K78" i="4"/>
  <c r="J78" i="4"/>
  <c r="I78" i="4"/>
  <c r="H78" i="4"/>
  <c r="G78" i="4"/>
  <c r="F78" i="4"/>
  <c r="L77" i="4"/>
  <c r="K77" i="4"/>
  <c r="J77" i="4"/>
  <c r="I77" i="4"/>
  <c r="H77" i="4"/>
  <c r="G77" i="4"/>
  <c r="F77" i="4"/>
  <c r="L76" i="4"/>
  <c r="K76" i="4"/>
  <c r="J76" i="4"/>
  <c r="I76" i="4"/>
  <c r="H76" i="4"/>
  <c r="G76" i="4"/>
  <c r="F76" i="4"/>
  <c r="L75" i="4"/>
  <c r="K75" i="4"/>
  <c r="J75" i="4"/>
  <c r="I75" i="4"/>
  <c r="H75" i="4"/>
  <c r="G75" i="4"/>
  <c r="F75" i="4"/>
  <c r="L74" i="4"/>
  <c r="K74" i="4"/>
  <c r="J74" i="4"/>
  <c r="I74" i="4"/>
  <c r="H74" i="4"/>
  <c r="G74" i="4"/>
  <c r="F74" i="4"/>
  <c r="L73" i="4"/>
  <c r="K73" i="4"/>
  <c r="J73" i="4"/>
  <c r="I73" i="4"/>
  <c r="H73" i="4"/>
  <c r="G73" i="4"/>
  <c r="F73" i="4"/>
  <c r="L72" i="4"/>
  <c r="K72" i="4"/>
  <c r="J72" i="4"/>
  <c r="I72" i="4"/>
  <c r="H72" i="4"/>
  <c r="G72" i="4"/>
  <c r="F72" i="4"/>
  <c r="L71" i="4"/>
  <c r="K71" i="4"/>
  <c r="J71" i="4"/>
  <c r="I71" i="4"/>
  <c r="H71" i="4"/>
  <c r="G71" i="4"/>
  <c r="F71" i="4"/>
  <c r="L70" i="4"/>
  <c r="K70" i="4"/>
  <c r="J70" i="4"/>
  <c r="I70" i="4"/>
  <c r="H70" i="4"/>
  <c r="G70" i="4"/>
  <c r="F70" i="4"/>
  <c r="L69" i="4"/>
  <c r="K69" i="4"/>
  <c r="J69" i="4"/>
  <c r="I69" i="4"/>
  <c r="H69" i="4"/>
  <c r="G69" i="4"/>
  <c r="F69" i="4"/>
  <c r="L68" i="4"/>
  <c r="K68" i="4"/>
  <c r="J68" i="4"/>
  <c r="I68" i="4"/>
  <c r="H68" i="4"/>
  <c r="G68" i="4"/>
  <c r="F68" i="4"/>
  <c r="L67" i="4"/>
  <c r="K67" i="4"/>
  <c r="J67" i="4"/>
  <c r="I67" i="4"/>
  <c r="H67" i="4"/>
  <c r="G67" i="4"/>
  <c r="F67" i="4"/>
  <c r="L66" i="4"/>
  <c r="K66" i="4"/>
  <c r="J66" i="4"/>
  <c r="I66" i="4"/>
  <c r="H66" i="4"/>
  <c r="G66" i="4"/>
  <c r="F66" i="4"/>
  <c r="L65" i="4"/>
  <c r="K65" i="4"/>
  <c r="J65" i="4"/>
  <c r="I65" i="4"/>
  <c r="H65" i="4"/>
  <c r="G65" i="4"/>
  <c r="F65" i="4"/>
  <c r="L64" i="4"/>
  <c r="K64" i="4"/>
  <c r="J64" i="4"/>
  <c r="I64" i="4"/>
  <c r="H64" i="4"/>
  <c r="G64" i="4"/>
  <c r="F64" i="4"/>
  <c r="L63" i="4"/>
  <c r="K63" i="4"/>
  <c r="J63" i="4"/>
  <c r="I63" i="4"/>
  <c r="H63" i="4"/>
  <c r="G63" i="4"/>
  <c r="F63" i="4"/>
  <c r="L62" i="4"/>
  <c r="K62" i="4"/>
  <c r="J62" i="4"/>
  <c r="I62" i="4"/>
  <c r="H62" i="4"/>
  <c r="G62" i="4"/>
  <c r="F62" i="4"/>
  <c r="L61" i="4"/>
  <c r="K61" i="4"/>
  <c r="J61" i="4"/>
  <c r="I61" i="4"/>
  <c r="H61" i="4"/>
  <c r="G61" i="4"/>
  <c r="F61" i="4"/>
  <c r="L60" i="4"/>
  <c r="K60" i="4"/>
  <c r="J60" i="4"/>
  <c r="I60" i="4"/>
  <c r="H60" i="4"/>
  <c r="G60" i="4"/>
  <c r="F60" i="4"/>
  <c r="L59" i="4"/>
  <c r="K59" i="4"/>
  <c r="J59" i="4"/>
  <c r="I59" i="4"/>
  <c r="H59" i="4"/>
  <c r="G59" i="4"/>
  <c r="F59" i="4"/>
  <c r="L58" i="4"/>
  <c r="K58" i="4"/>
  <c r="J58" i="4"/>
  <c r="I58" i="4"/>
  <c r="H58" i="4"/>
  <c r="G58" i="4"/>
  <c r="F58" i="4"/>
  <c r="L57" i="4"/>
  <c r="K57" i="4"/>
  <c r="J57" i="4"/>
  <c r="I57" i="4"/>
  <c r="H57" i="4"/>
  <c r="G57" i="4"/>
  <c r="F57" i="4"/>
  <c r="L56" i="4"/>
  <c r="K56" i="4"/>
  <c r="J56" i="4"/>
  <c r="I56" i="4"/>
  <c r="H56" i="4"/>
  <c r="G56" i="4"/>
  <c r="F56" i="4"/>
  <c r="L55" i="4"/>
  <c r="K55" i="4"/>
  <c r="J55" i="4"/>
  <c r="I55" i="4"/>
  <c r="H55" i="4"/>
  <c r="G55" i="4"/>
  <c r="F55" i="4"/>
  <c r="L54" i="4"/>
  <c r="K54" i="4"/>
  <c r="J54" i="4"/>
  <c r="I54" i="4"/>
  <c r="H54" i="4"/>
  <c r="G54" i="4"/>
  <c r="F54" i="4"/>
  <c r="L53" i="4"/>
  <c r="K53" i="4"/>
  <c r="J53" i="4"/>
  <c r="I53" i="4"/>
  <c r="H53" i="4"/>
  <c r="G53" i="4"/>
  <c r="F53" i="4"/>
  <c r="L52" i="4"/>
  <c r="K52" i="4"/>
  <c r="J52" i="4"/>
  <c r="I52" i="4"/>
  <c r="H52" i="4"/>
  <c r="G52" i="4"/>
  <c r="F52" i="4"/>
  <c r="L51" i="4"/>
  <c r="K51" i="4"/>
  <c r="J51" i="4"/>
  <c r="I51" i="4"/>
  <c r="H51" i="4"/>
  <c r="G51" i="4"/>
  <c r="F51" i="4"/>
  <c r="L50" i="4"/>
  <c r="K50" i="4"/>
  <c r="J50" i="4"/>
  <c r="I50" i="4"/>
  <c r="H50" i="4"/>
  <c r="G50" i="4"/>
  <c r="F50" i="4"/>
  <c r="L49" i="4"/>
  <c r="K49" i="4"/>
  <c r="J49" i="4"/>
  <c r="I49" i="4"/>
  <c r="H49" i="4"/>
  <c r="G49" i="4"/>
  <c r="F49" i="4"/>
  <c r="L48" i="4"/>
  <c r="K48" i="4"/>
  <c r="J48" i="4"/>
  <c r="I48" i="4"/>
  <c r="H48" i="4"/>
  <c r="G48" i="4"/>
  <c r="F48" i="4"/>
  <c r="L47" i="4"/>
  <c r="K47" i="4"/>
  <c r="J47" i="4"/>
  <c r="I47" i="4"/>
  <c r="H47" i="4"/>
  <c r="G47" i="4"/>
  <c r="F47" i="4"/>
  <c r="L46" i="4"/>
  <c r="K46" i="4"/>
  <c r="J46" i="4"/>
  <c r="I46" i="4"/>
  <c r="H46" i="4"/>
  <c r="G46" i="4"/>
  <c r="F46" i="4"/>
  <c r="L45" i="4"/>
  <c r="K45" i="4"/>
  <c r="J45" i="4"/>
  <c r="I45" i="4"/>
  <c r="H45" i="4"/>
  <c r="G45" i="4"/>
  <c r="F45" i="4"/>
  <c r="L44" i="4"/>
  <c r="K44" i="4"/>
  <c r="J44" i="4"/>
  <c r="I44" i="4"/>
  <c r="H44" i="4"/>
  <c r="G44" i="4"/>
  <c r="F44" i="4"/>
  <c r="L43" i="4"/>
  <c r="K43" i="4"/>
  <c r="J43" i="4"/>
  <c r="I43" i="4"/>
  <c r="H43" i="4"/>
  <c r="G43" i="4"/>
  <c r="F43" i="4"/>
  <c r="L42" i="4"/>
  <c r="K42" i="4"/>
  <c r="J42" i="4"/>
  <c r="I42" i="4"/>
  <c r="H42" i="4"/>
  <c r="G42" i="4"/>
  <c r="F42" i="4"/>
  <c r="L41" i="4"/>
  <c r="K41" i="4"/>
  <c r="J41" i="4"/>
  <c r="I41" i="4"/>
  <c r="H41" i="4"/>
  <c r="G41" i="4"/>
  <c r="F41" i="4"/>
  <c r="L40" i="4"/>
  <c r="K40" i="4"/>
  <c r="J40" i="4"/>
  <c r="I40" i="4"/>
  <c r="H40" i="4"/>
  <c r="G40" i="4"/>
  <c r="F40" i="4"/>
  <c r="L39" i="4"/>
  <c r="K39" i="4"/>
  <c r="J39" i="4"/>
  <c r="I39" i="4"/>
  <c r="H39" i="4"/>
  <c r="G39" i="4"/>
  <c r="F39" i="4"/>
  <c r="L38" i="4"/>
  <c r="K38" i="4"/>
  <c r="J38" i="4"/>
  <c r="I38" i="4"/>
  <c r="H38" i="4"/>
  <c r="G38" i="4"/>
  <c r="F38" i="4"/>
  <c r="L37" i="4"/>
  <c r="K37" i="4"/>
  <c r="J37" i="4"/>
  <c r="I37" i="4"/>
  <c r="H37" i="4"/>
  <c r="G37" i="4"/>
  <c r="F37" i="4"/>
  <c r="L36" i="4"/>
  <c r="K36" i="4"/>
  <c r="J36" i="4"/>
  <c r="I36" i="4"/>
  <c r="H36" i="4"/>
  <c r="G36" i="4"/>
  <c r="F36" i="4"/>
  <c r="L35" i="4"/>
  <c r="K35" i="4"/>
  <c r="J35" i="4"/>
  <c r="I35" i="4"/>
  <c r="H35" i="4"/>
  <c r="G35" i="4"/>
  <c r="F35" i="4"/>
  <c r="L34" i="4"/>
  <c r="K34" i="4"/>
  <c r="J34" i="4"/>
  <c r="I34" i="4"/>
  <c r="H34" i="4"/>
  <c r="G34" i="4"/>
  <c r="F34" i="4"/>
  <c r="L33" i="4"/>
  <c r="K33" i="4"/>
  <c r="J33" i="4"/>
  <c r="I33" i="4"/>
  <c r="H33" i="4"/>
  <c r="G33" i="4"/>
  <c r="F33" i="4"/>
  <c r="L32" i="4"/>
  <c r="K32" i="4"/>
  <c r="J32" i="4"/>
  <c r="I32" i="4"/>
  <c r="H32" i="4"/>
  <c r="G32" i="4"/>
  <c r="F32" i="4"/>
  <c r="L31" i="4"/>
  <c r="K31" i="4"/>
  <c r="J31" i="4"/>
  <c r="I31" i="4"/>
  <c r="H31" i="4"/>
  <c r="G31" i="4"/>
  <c r="F31" i="4"/>
  <c r="L30" i="4"/>
  <c r="K30" i="4"/>
  <c r="J30" i="4"/>
  <c r="I30" i="4"/>
  <c r="H30" i="4"/>
  <c r="G30" i="4"/>
  <c r="F30" i="4"/>
  <c r="L29" i="4"/>
  <c r="K29" i="4"/>
  <c r="J29" i="4"/>
  <c r="I29" i="4"/>
  <c r="H29" i="4"/>
  <c r="G29" i="4"/>
  <c r="F29" i="4"/>
  <c r="L28" i="4"/>
  <c r="K28" i="4"/>
  <c r="J28" i="4"/>
  <c r="I28" i="4"/>
  <c r="H28" i="4"/>
  <c r="G28" i="4"/>
  <c r="F28" i="4"/>
  <c r="L27" i="4"/>
  <c r="K27" i="4"/>
  <c r="J27" i="4"/>
  <c r="I27" i="4"/>
  <c r="H27" i="4"/>
  <c r="G27" i="4"/>
  <c r="F27" i="4"/>
  <c r="L26" i="4"/>
  <c r="K26" i="4"/>
  <c r="J26" i="4"/>
  <c r="I26" i="4"/>
  <c r="H26" i="4"/>
  <c r="G26" i="4"/>
  <c r="F26" i="4"/>
  <c r="L25" i="4"/>
  <c r="K25" i="4"/>
  <c r="J25" i="4"/>
  <c r="I25" i="4"/>
  <c r="H25" i="4"/>
  <c r="G25" i="4"/>
  <c r="F25" i="4"/>
  <c r="L24" i="4"/>
  <c r="K24" i="4"/>
  <c r="J24" i="4"/>
  <c r="I24" i="4"/>
  <c r="H24" i="4"/>
  <c r="G24" i="4"/>
  <c r="F24" i="4"/>
  <c r="L23" i="4"/>
  <c r="K23" i="4"/>
  <c r="J23" i="4"/>
  <c r="I23" i="4"/>
  <c r="H23" i="4"/>
  <c r="G23" i="4"/>
  <c r="F23" i="4"/>
  <c r="L22" i="4"/>
  <c r="K22" i="4"/>
  <c r="J22" i="4"/>
  <c r="I22" i="4"/>
  <c r="H22" i="4"/>
  <c r="G22" i="4"/>
  <c r="F22" i="4"/>
  <c r="L21" i="4"/>
  <c r="K21" i="4"/>
  <c r="J21" i="4"/>
  <c r="I21" i="4"/>
  <c r="H21" i="4"/>
  <c r="G21" i="4"/>
  <c r="F21" i="4"/>
  <c r="L20" i="4"/>
  <c r="K20" i="4"/>
  <c r="J20" i="4"/>
  <c r="I20" i="4"/>
  <c r="H20" i="4"/>
  <c r="G20" i="4"/>
  <c r="F20" i="4"/>
  <c r="L19" i="4"/>
  <c r="K19" i="4"/>
  <c r="J19" i="4"/>
  <c r="I19" i="4"/>
  <c r="H19" i="4"/>
  <c r="G19" i="4"/>
  <c r="F19" i="4"/>
  <c r="L18" i="4"/>
  <c r="K18" i="4"/>
  <c r="J18" i="4"/>
  <c r="I18" i="4"/>
  <c r="H18" i="4"/>
  <c r="G18" i="4"/>
  <c r="F18" i="4"/>
  <c r="L17" i="4"/>
  <c r="K17" i="4"/>
  <c r="J17" i="4"/>
  <c r="I17" i="4"/>
  <c r="H17" i="4"/>
  <c r="G17" i="4"/>
  <c r="F17" i="4"/>
  <c r="L16" i="4"/>
  <c r="K16" i="4"/>
  <c r="J16" i="4"/>
  <c r="I16" i="4"/>
  <c r="H16" i="4"/>
  <c r="G16" i="4"/>
  <c r="F16" i="4"/>
  <c r="L15" i="4"/>
  <c r="K15" i="4"/>
  <c r="J15" i="4"/>
  <c r="I15" i="4"/>
  <c r="H15" i="4"/>
  <c r="G15" i="4"/>
  <c r="F15" i="4"/>
  <c r="L14" i="4"/>
  <c r="K14" i="4"/>
  <c r="J14" i="4"/>
  <c r="I14" i="4"/>
  <c r="H14" i="4"/>
  <c r="G14" i="4"/>
  <c r="F14" i="4"/>
  <c r="L13" i="4"/>
  <c r="K13" i="4"/>
  <c r="J13" i="4"/>
  <c r="I13" i="4"/>
  <c r="H13" i="4"/>
  <c r="G13" i="4"/>
  <c r="F13" i="4"/>
  <c r="L12" i="4"/>
  <c r="K12" i="4"/>
  <c r="J12" i="4"/>
  <c r="I12" i="4"/>
  <c r="H12" i="4"/>
  <c r="G12" i="4"/>
  <c r="F12" i="4"/>
  <c r="L11" i="4"/>
  <c r="K11" i="4"/>
  <c r="J11" i="4"/>
  <c r="I11" i="4"/>
  <c r="H11" i="4"/>
  <c r="G11" i="4"/>
  <c r="F11" i="4"/>
  <c r="L10" i="4"/>
  <c r="K10" i="4"/>
  <c r="J10" i="4"/>
  <c r="I10" i="4"/>
  <c r="H10" i="4"/>
  <c r="G10" i="4"/>
  <c r="F10" i="4"/>
  <c r="L9" i="4"/>
  <c r="K9" i="4"/>
  <c r="J9" i="4"/>
  <c r="I9" i="4"/>
  <c r="H9" i="4"/>
  <c r="G9" i="4"/>
  <c r="F9" i="4"/>
  <c r="L8" i="4"/>
  <c r="K8" i="4"/>
  <c r="J8" i="4"/>
  <c r="I8" i="4"/>
  <c r="H8" i="4"/>
  <c r="G8" i="4"/>
  <c r="F8" i="4"/>
  <c r="L7" i="4"/>
  <c r="K7" i="4"/>
  <c r="J7" i="4"/>
  <c r="I7" i="4"/>
  <c r="H7" i="4"/>
  <c r="F7" i="4"/>
  <c r="L6" i="4"/>
  <c r="K6" i="4"/>
  <c r="J6" i="4"/>
  <c r="I6" i="4"/>
  <c r="H6" i="4"/>
  <c r="G6" i="4"/>
  <c r="F6" i="4"/>
  <c r="L5" i="4"/>
  <c r="K5" i="4"/>
  <c r="J5" i="4"/>
  <c r="I5" i="4"/>
  <c r="H5" i="4"/>
  <c r="G5" i="4"/>
  <c r="F5" i="4"/>
  <c r="L4" i="4"/>
  <c r="K4" i="4"/>
  <c r="J4" i="4"/>
  <c r="I4" i="4"/>
  <c r="H4" i="4"/>
  <c r="G4" i="4"/>
  <c r="L3" i="4"/>
  <c r="K3" i="4"/>
  <c r="J3" i="4"/>
  <c r="I3" i="4"/>
  <c r="H3" i="4"/>
  <c r="G3" i="4"/>
  <c r="F3" i="4"/>
  <c r="J3" i="1"/>
  <c r="K3" i="1"/>
  <c r="L3" i="1"/>
  <c r="J4" i="1"/>
  <c r="K4" i="1"/>
  <c r="L4" i="1"/>
  <c r="J5" i="1"/>
  <c r="K5" i="1"/>
  <c r="L5" i="1"/>
  <c r="J6" i="1"/>
  <c r="K6" i="1"/>
  <c r="L6" i="1"/>
  <c r="J7" i="1"/>
  <c r="K7" i="1"/>
  <c r="L7" i="1"/>
  <c r="J8" i="1"/>
  <c r="K8" i="1"/>
  <c r="L8" i="1"/>
  <c r="J9" i="1"/>
  <c r="K9" i="1"/>
  <c r="L9" i="1"/>
  <c r="J10" i="1"/>
  <c r="K10" i="1"/>
  <c r="L10" i="1"/>
  <c r="J11" i="1"/>
  <c r="K11" i="1"/>
  <c r="L11" i="1"/>
  <c r="J12" i="1"/>
  <c r="K12" i="1"/>
  <c r="L12" i="1"/>
  <c r="J13" i="1"/>
  <c r="K13" i="1"/>
  <c r="L13" i="1"/>
  <c r="J14" i="1"/>
  <c r="K14" i="1"/>
  <c r="L14" i="1"/>
  <c r="J15" i="1"/>
  <c r="K15" i="1"/>
  <c r="L15" i="1"/>
  <c r="J16" i="1"/>
  <c r="K16" i="1"/>
  <c r="L16" i="1"/>
  <c r="J17" i="1"/>
  <c r="K17" i="1"/>
  <c r="L17" i="1"/>
  <c r="J18" i="1"/>
  <c r="K18" i="1"/>
  <c r="L18" i="1"/>
  <c r="J19" i="1"/>
  <c r="K19" i="1"/>
  <c r="L19" i="1"/>
  <c r="J20" i="1"/>
  <c r="K20" i="1"/>
  <c r="L20" i="1"/>
  <c r="J21" i="1"/>
  <c r="K21" i="1"/>
  <c r="L21" i="1"/>
  <c r="J22" i="1"/>
  <c r="K22" i="1"/>
  <c r="L22" i="1"/>
  <c r="J23" i="1"/>
  <c r="K23" i="1"/>
  <c r="L23" i="1"/>
  <c r="J24" i="1"/>
  <c r="K24" i="1"/>
  <c r="L24" i="1"/>
  <c r="J25" i="1"/>
  <c r="K25" i="1"/>
  <c r="L25" i="1"/>
  <c r="J26" i="1"/>
  <c r="K26" i="1"/>
  <c r="L26" i="1"/>
  <c r="J27" i="1"/>
  <c r="K27" i="1"/>
  <c r="L27" i="1"/>
  <c r="J28" i="1"/>
  <c r="K28" i="1"/>
  <c r="L28" i="1"/>
  <c r="J29" i="1"/>
  <c r="K29" i="1"/>
  <c r="L29" i="1"/>
  <c r="J30" i="1"/>
  <c r="K30" i="1"/>
  <c r="L30" i="1"/>
  <c r="J31" i="1"/>
  <c r="K31" i="1"/>
  <c r="L31" i="1"/>
  <c r="J32" i="1"/>
  <c r="K32" i="1"/>
  <c r="L32" i="1"/>
  <c r="J33" i="1"/>
  <c r="K33" i="1"/>
  <c r="L33" i="1"/>
  <c r="J34" i="1"/>
  <c r="K34" i="1"/>
  <c r="L34" i="1"/>
  <c r="J35" i="1"/>
  <c r="K35" i="1"/>
  <c r="L35" i="1"/>
  <c r="J36" i="1"/>
  <c r="K36" i="1"/>
  <c r="L36" i="1"/>
  <c r="J37" i="1"/>
  <c r="K37" i="1"/>
  <c r="L37" i="1"/>
  <c r="J38" i="1"/>
  <c r="K38" i="1"/>
  <c r="L38" i="1"/>
  <c r="J39" i="1"/>
  <c r="K39" i="1"/>
  <c r="L39" i="1"/>
  <c r="J40" i="1"/>
  <c r="K40" i="1"/>
  <c r="L40" i="1"/>
  <c r="J41" i="1"/>
  <c r="K41" i="1"/>
  <c r="L41" i="1"/>
  <c r="J42" i="1"/>
  <c r="K42" i="1"/>
  <c r="L42" i="1"/>
  <c r="J43" i="1"/>
  <c r="K43" i="1"/>
  <c r="L43" i="1"/>
  <c r="J44" i="1"/>
  <c r="K44" i="1"/>
  <c r="L44" i="1"/>
  <c r="J45" i="1"/>
  <c r="K45" i="1"/>
  <c r="L45" i="1"/>
  <c r="J46" i="1"/>
  <c r="K46" i="1"/>
  <c r="L46" i="1"/>
  <c r="J47" i="1"/>
  <c r="K47" i="1"/>
  <c r="L47" i="1"/>
  <c r="J48" i="1"/>
  <c r="K48" i="1"/>
  <c r="L48" i="1"/>
  <c r="J49" i="1"/>
  <c r="K49" i="1"/>
  <c r="L49" i="1"/>
  <c r="J50" i="1"/>
  <c r="K50" i="1"/>
  <c r="L50" i="1"/>
  <c r="J51" i="1"/>
  <c r="K51" i="1"/>
  <c r="L51" i="1"/>
  <c r="J52" i="1"/>
  <c r="K52" i="1"/>
  <c r="L52" i="1"/>
  <c r="J53" i="1"/>
  <c r="K53" i="1"/>
  <c r="L53" i="1"/>
  <c r="J54" i="1"/>
  <c r="K54" i="1"/>
  <c r="L54" i="1"/>
  <c r="J55" i="1"/>
  <c r="K55" i="1"/>
  <c r="L55" i="1"/>
  <c r="J56" i="1"/>
  <c r="K56" i="1"/>
  <c r="L56" i="1"/>
  <c r="J57" i="1"/>
  <c r="K57" i="1"/>
  <c r="L57" i="1"/>
  <c r="J58" i="1"/>
  <c r="K58" i="1"/>
  <c r="L58" i="1"/>
  <c r="J59" i="1"/>
  <c r="K59" i="1"/>
  <c r="L59" i="1"/>
  <c r="J60" i="1"/>
  <c r="K60" i="1"/>
  <c r="L60" i="1"/>
  <c r="J61" i="1"/>
  <c r="K61" i="1"/>
  <c r="L61" i="1"/>
  <c r="J62" i="1"/>
  <c r="K62" i="1"/>
  <c r="L62" i="1"/>
  <c r="J63" i="1"/>
  <c r="K63" i="1"/>
  <c r="L63" i="1"/>
  <c r="J64" i="1"/>
  <c r="K64" i="1"/>
  <c r="L64" i="1"/>
  <c r="J65" i="1"/>
  <c r="K65" i="1"/>
  <c r="L65" i="1"/>
  <c r="J66" i="1"/>
  <c r="K66" i="1"/>
  <c r="L66" i="1"/>
  <c r="J67" i="1"/>
  <c r="K67" i="1"/>
  <c r="L67" i="1"/>
  <c r="J68" i="1"/>
  <c r="K68" i="1"/>
  <c r="L68" i="1"/>
  <c r="J69" i="1"/>
  <c r="K69" i="1"/>
  <c r="L69" i="1"/>
  <c r="J70" i="1"/>
  <c r="K70" i="1"/>
  <c r="L70" i="1"/>
  <c r="J71" i="1"/>
  <c r="K71" i="1"/>
  <c r="L71" i="1"/>
  <c r="J72" i="1"/>
  <c r="K72" i="1"/>
  <c r="L72" i="1"/>
  <c r="J73" i="1"/>
  <c r="K73" i="1"/>
  <c r="L73" i="1"/>
  <c r="J74" i="1"/>
  <c r="K74" i="1"/>
  <c r="L74" i="1"/>
  <c r="J75" i="1"/>
  <c r="K75" i="1"/>
  <c r="L75" i="1"/>
  <c r="J76" i="1"/>
  <c r="K76" i="1"/>
  <c r="L76" i="1"/>
  <c r="J77" i="1"/>
  <c r="K77" i="1"/>
  <c r="L77" i="1"/>
  <c r="J78" i="1"/>
  <c r="K78" i="1"/>
  <c r="L78" i="1"/>
  <c r="J79" i="1"/>
  <c r="K79" i="1"/>
  <c r="L79" i="1"/>
  <c r="J80" i="1"/>
  <c r="K80" i="1"/>
  <c r="L80" i="1"/>
  <c r="J81" i="1"/>
  <c r="K81" i="1"/>
  <c r="L81" i="1"/>
  <c r="J82" i="1"/>
  <c r="K82" i="1"/>
  <c r="L82" i="1"/>
  <c r="J83" i="1"/>
  <c r="K83" i="1"/>
  <c r="L83" i="1"/>
  <c r="J84" i="1"/>
  <c r="K84" i="1"/>
  <c r="L84" i="1"/>
  <c r="J85" i="1"/>
  <c r="K85" i="1"/>
  <c r="L85" i="1"/>
  <c r="J86" i="1"/>
  <c r="K86" i="1"/>
  <c r="L86" i="1"/>
  <c r="J87" i="1"/>
  <c r="K87" i="1"/>
  <c r="L87" i="1"/>
  <c r="J88" i="1"/>
  <c r="K88" i="1"/>
  <c r="L88" i="1"/>
  <c r="J89" i="1"/>
  <c r="K89" i="1"/>
  <c r="L89" i="1"/>
  <c r="J90" i="1"/>
  <c r="K90" i="1"/>
  <c r="L90" i="1"/>
  <c r="J91" i="1"/>
  <c r="K91" i="1"/>
  <c r="L91" i="1"/>
  <c r="J92" i="1"/>
  <c r="K92" i="1"/>
  <c r="L92" i="1"/>
  <c r="J93" i="1"/>
  <c r="K93" i="1"/>
  <c r="L93" i="1"/>
  <c r="J94" i="1"/>
  <c r="K94" i="1"/>
  <c r="L94" i="1"/>
  <c r="J95" i="1"/>
  <c r="K95" i="1"/>
  <c r="L95" i="1"/>
  <c r="J96" i="1"/>
  <c r="K96" i="1"/>
  <c r="L96" i="1"/>
  <c r="J97" i="1"/>
  <c r="K97" i="1"/>
  <c r="L97" i="1"/>
  <c r="J98" i="1"/>
  <c r="K98" i="1"/>
  <c r="L98" i="1"/>
  <c r="J99" i="1"/>
  <c r="K99" i="1"/>
  <c r="L99" i="1"/>
  <c r="F5" i="1"/>
  <c r="G5" i="1"/>
  <c r="H5" i="1"/>
  <c r="I5" i="1"/>
  <c r="F6" i="1"/>
  <c r="G6" i="1"/>
  <c r="H6" i="1"/>
  <c r="I6" i="1"/>
  <c r="F7" i="1"/>
  <c r="G7" i="1"/>
  <c r="H7" i="1"/>
  <c r="I7" i="1"/>
  <c r="F8" i="1"/>
  <c r="G8" i="1"/>
  <c r="H8" i="1"/>
  <c r="I8" i="1"/>
  <c r="F9" i="1"/>
  <c r="G9" i="1"/>
  <c r="H9" i="1"/>
  <c r="I9" i="1"/>
  <c r="F10" i="1"/>
  <c r="G10" i="1"/>
  <c r="H10" i="1"/>
  <c r="I10" i="1"/>
  <c r="F11" i="1"/>
  <c r="G11" i="1"/>
  <c r="H11" i="1"/>
  <c r="I11" i="1"/>
  <c r="F12" i="1"/>
  <c r="G12" i="1"/>
  <c r="H12" i="1"/>
  <c r="I12" i="1"/>
  <c r="F13" i="1"/>
  <c r="G13" i="1"/>
  <c r="H13" i="1"/>
  <c r="I13" i="1"/>
  <c r="F14" i="1"/>
  <c r="G14" i="1"/>
  <c r="H14" i="1"/>
  <c r="I14" i="1"/>
  <c r="F15" i="1"/>
  <c r="G15" i="1"/>
  <c r="H15" i="1"/>
  <c r="I15" i="1"/>
  <c r="F16" i="1"/>
  <c r="G16" i="1"/>
  <c r="H16" i="1"/>
  <c r="I16" i="1"/>
  <c r="F17" i="1"/>
  <c r="G17" i="1"/>
  <c r="H17" i="1"/>
  <c r="I17" i="1"/>
  <c r="F18" i="1"/>
  <c r="G18" i="1"/>
  <c r="H18" i="1"/>
  <c r="I18" i="1"/>
  <c r="F19" i="1"/>
  <c r="G19" i="1"/>
  <c r="H19" i="1"/>
  <c r="I19" i="1"/>
  <c r="F20" i="1"/>
  <c r="G20" i="1"/>
  <c r="H20" i="1"/>
  <c r="I20" i="1"/>
  <c r="F21" i="1"/>
  <c r="G21" i="1"/>
  <c r="H21" i="1"/>
  <c r="I21" i="1"/>
  <c r="F22" i="1"/>
  <c r="G22" i="1"/>
  <c r="H22" i="1"/>
  <c r="I22" i="1"/>
  <c r="F23" i="1"/>
  <c r="G23" i="1"/>
  <c r="H23" i="1"/>
  <c r="I23" i="1"/>
  <c r="F24" i="1"/>
  <c r="G24" i="1"/>
  <c r="H24" i="1"/>
  <c r="I24" i="1"/>
  <c r="F25" i="1"/>
  <c r="G25" i="1"/>
  <c r="H25" i="1"/>
  <c r="I25" i="1"/>
  <c r="F26" i="1"/>
  <c r="G26" i="1"/>
  <c r="H26" i="1"/>
  <c r="I26" i="1"/>
  <c r="F27" i="1"/>
  <c r="G27" i="1"/>
  <c r="H27" i="1"/>
  <c r="I27" i="1"/>
  <c r="F28" i="1"/>
  <c r="G28" i="1"/>
  <c r="H28" i="1"/>
  <c r="I28" i="1"/>
  <c r="F29" i="1"/>
  <c r="G29" i="1"/>
  <c r="H29" i="1"/>
  <c r="I29" i="1"/>
  <c r="F30" i="1"/>
  <c r="G30" i="1"/>
  <c r="H30" i="1"/>
  <c r="I30" i="1"/>
  <c r="F31" i="1"/>
  <c r="G31" i="1"/>
  <c r="H31" i="1"/>
  <c r="I31" i="1"/>
  <c r="F32" i="1"/>
  <c r="G32" i="1"/>
  <c r="H32" i="1"/>
  <c r="I32" i="1"/>
  <c r="F33" i="1"/>
  <c r="G33" i="1"/>
  <c r="H33" i="1"/>
  <c r="I33" i="1"/>
  <c r="F34" i="1"/>
  <c r="G34" i="1"/>
  <c r="H34" i="1"/>
  <c r="I34" i="1"/>
  <c r="F35" i="1"/>
  <c r="G35" i="1"/>
  <c r="H35" i="1"/>
  <c r="I35" i="1"/>
  <c r="F36" i="1"/>
  <c r="G36" i="1"/>
  <c r="H36" i="1"/>
  <c r="I36" i="1"/>
  <c r="F37" i="1"/>
  <c r="G37" i="1"/>
  <c r="H37" i="1"/>
  <c r="I37" i="1"/>
  <c r="F38" i="1"/>
  <c r="G38" i="1"/>
  <c r="H38" i="1"/>
  <c r="I38" i="1"/>
  <c r="F39" i="1"/>
  <c r="G39" i="1"/>
  <c r="H39" i="1"/>
  <c r="I39" i="1"/>
  <c r="F40" i="1"/>
  <c r="G40" i="1"/>
  <c r="H40" i="1"/>
  <c r="I40" i="1"/>
  <c r="F41" i="1"/>
  <c r="G41" i="1"/>
  <c r="H41" i="1"/>
  <c r="I41" i="1"/>
  <c r="F42" i="1"/>
  <c r="G42" i="1"/>
  <c r="H42" i="1"/>
  <c r="I42" i="1"/>
  <c r="F43" i="1"/>
  <c r="G43" i="1"/>
  <c r="H43" i="1"/>
  <c r="I43" i="1"/>
  <c r="F44" i="1"/>
  <c r="G44" i="1"/>
  <c r="H44" i="1"/>
  <c r="I44" i="1"/>
  <c r="F45" i="1"/>
  <c r="G45" i="1"/>
  <c r="H45" i="1"/>
  <c r="I45" i="1"/>
  <c r="F46" i="1"/>
  <c r="G46" i="1"/>
  <c r="H46" i="1"/>
  <c r="I46" i="1"/>
  <c r="F47" i="1"/>
  <c r="G47" i="1"/>
  <c r="H47" i="1"/>
  <c r="I47" i="1"/>
  <c r="F48" i="1"/>
  <c r="G48" i="1"/>
  <c r="H48" i="1"/>
  <c r="I48" i="1"/>
  <c r="F49" i="1"/>
  <c r="G49" i="1"/>
  <c r="H49" i="1"/>
  <c r="I49" i="1"/>
  <c r="F50" i="1"/>
  <c r="G50" i="1"/>
  <c r="H50" i="1"/>
  <c r="I50" i="1"/>
  <c r="F51" i="1"/>
  <c r="G51" i="1"/>
  <c r="H51" i="1"/>
  <c r="I51" i="1"/>
  <c r="F52" i="1"/>
  <c r="G52" i="1"/>
  <c r="H52" i="1"/>
  <c r="I52" i="1"/>
  <c r="F53" i="1"/>
  <c r="G53" i="1"/>
  <c r="H53" i="1"/>
  <c r="I53" i="1"/>
  <c r="F54" i="1"/>
  <c r="G54" i="1"/>
  <c r="H54" i="1"/>
  <c r="I54" i="1"/>
  <c r="F55" i="1"/>
  <c r="G55" i="1"/>
  <c r="H55" i="1"/>
  <c r="I55" i="1"/>
  <c r="F56" i="1"/>
  <c r="G56" i="1"/>
  <c r="H56" i="1"/>
  <c r="I56" i="1"/>
  <c r="F57" i="1"/>
  <c r="G57" i="1"/>
  <c r="H57" i="1"/>
  <c r="I57" i="1"/>
  <c r="F58" i="1"/>
  <c r="G58" i="1"/>
  <c r="H58" i="1"/>
  <c r="I58" i="1"/>
  <c r="F59" i="1"/>
  <c r="G59" i="1"/>
  <c r="H59" i="1"/>
  <c r="I59" i="1"/>
  <c r="F60" i="1"/>
  <c r="G60" i="1"/>
  <c r="H60" i="1"/>
  <c r="I60" i="1"/>
  <c r="F61" i="1"/>
  <c r="G61" i="1"/>
  <c r="H61" i="1"/>
  <c r="I61" i="1"/>
  <c r="F62" i="1"/>
  <c r="G62" i="1"/>
  <c r="H62" i="1"/>
  <c r="I62" i="1"/>
  <c r="F63" i="1"/>
  <c r="G63" i="1"/>
  <c r="H63" i="1"/>
  <c r="I63" i="1"/>
  <c r="F64" i="1"/>
  <c r="G64" i="1"/>
  <c r="H64" i="1"/>
  <c r="I64" i="1"/>
  <c r="F65" i="1"/>
  <c r="G65" i="1"/>
  <c r="H65" i="1"/>
  <c r="I65" i="1"/>
  <c r="F66" i="1"/>
  <c r="G66" i="1"/>
  <c r="H66" i="1"/>
  <c r="I66" i="1"/>
  <c r="F67" i="1"/>
  <c r="G67" i="1"/>
  <c r="H67" i="1"/>
  <c r="I67" i="1"/>
  <c r="F68" i="1"/>
  <c r="G68" i="1"/>
  <c r="H68" i="1"/>
  <c r="I68" i="1"/>
  <c r="F69" i="1"/>
  <c r="G69" i="1"/>
  <c r="H69" i="1"/>
  <c r="I69" i="1"/>
  <c r="F70" i="1"/>
  <c r="G70" i="1"/>
  <c r="H70" i="1"/>
  <c r="I70" i="1"/>
  <c r="F71" i="1"/>
  <c r="G71" i="1"/>
  <c r="H71" i="1"/>
  <c r="I71" i="1"/>
  <c r="F72" i="1"/>
  <c r="G72" i="1"/>
  <c r="H72" i="1"/>
  <c r="I72" i="1"/>
  <c r="F73" i="1"/>
  <c r="G73" i="1"/>
  <c r="H73" i="1"/>
  <c r="I73" i="1"/>
  <c r="F74" i="1"/>
  <c r="G74" i="1"/>
  <c r="H74" i="1"/>
  <c r="I74" i="1"/>
  <c r="F75" i="1"/>
  <c r="G75" i="1"/>
  <c r="H75" i="1"/>
  <c r="I75" i="1"/>
  <c r="F76" i="1"/>
  <c r="G76" i="1"/>
  <c r="H76" i="1"/>
  <c r="I76" i="1"/>
  <c r="F77" i="1"/>
  <c r="G77" i="1"/>
  <c r="H77" i="1"/>
  <c r="I77" i="1"/>
  <c r="F78" i="1"/>
  <c r="G78" i="1"/>
  <c r="H78" i="1"/>
  <c r="I78" i="1"/>
  <c r="F79" i="1"/>
  <c r="G79" i="1"/>
  <c r="H79" i="1"/>
  <c r="I79" i="1"/>
  <c r="F80" i="1"/>
  <c r="G80" i="1"/>
  <c r="H80" i="1"/>
  <c r="I80" i="1"/>
  <c r="F81" i="1"/>
  <c r="G81" i="1"/>
  <c r="H81" i="1"/>
  <c r="I81" i="1"/>
  <c r="F82" i="1"/>
  <c r="G82" i="1"/>
  <c r="H82" i="1"/>
  <c r="I82" i="1"/>
  <c r="F83" i="1"/>
  <c r="G83" i="1"/>
  <c r="H83" i="1"/>
  <c r="I83" i="1"/>
  <c r="F84" i="1"/>
  <c r="G84" i="1"/>
  <c r="H84" i="1"/>
  <c r="I84" i="1"/>
  <c r="F85" i="1"/>
  <c r="G85" i="1"/>
  <c r="H85" i="1"/>
  <c r="I85" i="1"/>
  <c r="F86" i="1"/>
  <c r="G86" i="1"/>
  <c r="H86" i="1"/>
  <c r="I86" i="1"/>
  <c r="F87" i="1"/>
  <c r="G87" i="1"/>
  <c r="H87" i="1"/>
  <c r="I87" i="1"/>
  <c r="F88" i="1"/>
  <c r="G88" i="1"/>
  <c r="H88" i="1"/>
  <c r="I88" i="1"/>
  <c r="F89" i="1"/>
  <c r="G89" i="1"/>
  <c r="H89" i="1"/>
  <c r="I89" i="1"/>
  <c r="F90" i="1"/>
  <c r="G90" i="1"/>
  <c r="H90" i="1"/>
  <c r="I90" i="1"/>
  <c r="F91" i="1"/>
  <c r="G91" i="1"/>
  <c r="H91" i="1"/>
  <c r="I91" i="1"/>
  <c r="F92" i="1"/>
  <c r="G92" i="1"/>
  <c r="H92" i="1"/>
  <c r="I92" i="1"/>
  <c r="F93" i="1"/>
  <c r="G93" i="1"/>
  <c r="H93" i="1"/>
  <c r="I93" i="1"/>
  <c r="F94" i="1"/>
  <c r="G94" i="1"/>
  <c r="H94" i="1"/>
  <c r="I94" i="1"/>
  <c r="F95" i="1"/>
  <c r="G95" i="1"/>
  <c r="H95" i="1"/>
  <c r="I95" i="1"/>
  <c r="F96" i="1"/>
  <c r="G96" i="1"/>
  <c r="H96" i="1"/>
  <c r="I96" i="1"/>
  <c r="F97" i="1"/>
  <c r="G97" i="1"/>
  <c r="H97" i="1"/>
  <c r="I97" i="1"/>
  <c r="F98" i="1"/>
  <c r="G98" i="1"/>
  <c r="H98" i="1"/>
  <c r="I98" i="1"/>
  <c r="F99" i="1"/>
  <c r="G99" i="1"/>
  <c r="H99" i="1"/>
  <c r="I99" i="1"/>
  <c r="H3" i="1"/>
  <c r="I3" i="1"/>
  <c r="H4" i="1"/>
  <c r="I4" i="1"/>
  <c r="G3" i="1"/>
  <c r="G4" i="1"/>
  <c r="F4" i="1"/>
  <c r="F3" i="1"/>
  <c r="B28" i="2"/>
  <c r="G28" i="2"/>
  <c r="G27" i="2"/>
  <c r="H27" i="2"/>
  <c r="B27" i="2"/>
  <c r="H28" i="2"/>
  <c r="F28" i="2"/>
  <c r="E28" i="2"/>
  <c r="D28" i="2"/>
  <c r="C28" i="2"/>
  <c r="F27" i="2"/>
  <c r="E27" i="2"/>
  <c r="D27" i="2"/>
  <c r="C27" i="2"/>
  <c r="C20" i="2"/>
  <c r="D20" i="2"/>
  <c r="E20" i="2"/>
  <c r="F20" i="2"/>
  <c r="G20" i="2"/>
  <c r="H20" i="2"/>
  <c r="B20" i="2"/>
  <c r="H18" i="2"/>
  <c r="H19" i="2"/>
  <c r="H21" i="2"/>
  <c r="H22" i="2"/>
  <c r="H23" i="2"/>
  <c r="H24" i="2"/>
  <c r="H25" i="2"/>
  <c r="H26" i="2"/>
  <c r="C18" i="2"/>
  <c r="D18" i="2"/>
  <c r="E18" i="2"/>
  <c r="F18" i="2"/>
  <c r="G18" i="2"/>
  <c r="C19" i="2"/>
  <c r="D19" i="2"/>
  <c r="E19" i="2"/>
  <c r="F19" i="2"/>
  <c r="G19" i="2"/>
  <c r="C21" i="2"/>
  <c r="D21" i="2"/>
  <c r="E21" i="2"/>
  <c r="F21" i="2"/>
  <c r="G21" i="2"/>
  <c r="C22" i="2"/>
  <c r="D22" i="2"/>
  <c r="E22" i="2"/>
  <c r="F22" i="2"/>
  <c r="G22" i="2"/>
  <c r="C23" i="2"/>
  <c r="D23" i="2"/>
  <c r="E23" i="2"/>
  <c r="F23" i="2"/>
  <c r="G23" i="2"/>
  <c r="C24" i="2"/>
  <c r="D24" i="2"/>
  <c r="E24" i="2"/>
  <c r="F24" i="2"/>
  <c r="G24" i="2"/>
  <c r="C25" i="2"/>
  <c r="D25" i="2"/>
  <c r="E25" i="2"/>
  <c r="F25" i="2"/>
  <c r="G25" i="2"/>
  <c r="C26" i="2"/>
  <c r="D26" i="2"/>
  <c r="E26" i="2"/>
  <c r="F26" i="2"/>
  <c r="G26" i="2"/>
  <c r="B19" i="2"/>
  <c r="B21" i="2"/>
  <c r="B22" i="2"/>
  <c r="B23" i="2"/>
  <c r="B24" i="2"/>
  <c r="B25" i="2"/>
  <c r="B26" i="2"/>
  <c r="B18" i="2"/>
  <c r="Y5" i="1"/>
  <c r="Z5" i="1"/>
  <c r="AA5" i="1"/>
  <c r="AB5" i="1"/>
  <c r="AC5" i="1"/>
  <c r="Y6" i="1"/>
  <c r="Z6" i="1"/>
  <c r="AA6" i="1"/>
  <c r="AB6" i="1"/>
  <c r="AC6" i="1"/>
  <c r="Y7" i="1"/>
  <c r="Z7" i="1"/>
  <c r="AA7" i="1"/>
  <c r="AB7" i="1"/>
  <c r="AC7" i="1"/>
  <c r="Y8" i="1"/>
  <c r="Z8" i="1"/>
  <c r="AA8" i="1"/>
  <c r="AB8" i="1"/>
  <c r="AC8" i="1"/>
  <c r="Y9" i="1"/>
  <c r="Z9" i="1"/>
  <c r="AA9" i="1"/>
  <c r="AB9" i="1"/>
  <c r="AC9" i="1"/>
  <c r="Y10" i="1"/>
  <c r="Z10" i="1"/>
  <c r="AA10" i="1"/>
  <c r="AB10" i="1"/>
  <c r="AC10" i="1"/>
  <c r="Y11" i="1"/>
  <c r="Z11" i="1"/>
  <c r="AA11" i="1"/>
  <c r="AB11" i="1"/>
  <c r="AC11" i="1"/>
  <c r="Y12" i="1"/>
  <c r="Z12" i="1"/>
  <c r="AA12" i="1"/>
  <c r="AB12" i="1"/>
  <c r="AC12" i="1"/>
  <c r="Y13" i="1"/>
  <c r="Z13" i="1"/>
  <c r="AA13" i="1"/>
  <c r="AB13" i="1"/>
  <c r="AC13" i="1"/>
  <c r="Y14" i="1"/>
  <c r="Z14" i="1"/>
  <c r="AA14" i="1"/>
  <c r="AB14" i="1"/>
  <c r="AC14" i="1"/>
  <c r="Y15" i="1"/>
  <c r="Z15" i="1"/>
  <c r="AA15" i="1"/>
  <c r="AB15" i="1"/>
  <c r="AC15" i="1"/>
  <c r="Y16" i="1"/>
  <c r="Z16" i="1"/>
  <c r="AA16" i="1"/>
  <c r="AB16" i="1"/>
  <c r="AC16" i="1"/>
  <c r="Y17" i="1"/>
  <c r="Z17" i="1"/>
  <c r="AA17" i="1"/>
  <c r="AB17" i="1"/>
  <c r="AC17" i="1"/>
  <c r="Y18" i="1"/>
  <c r="Z18" i="1"/>
  <c r="AA18" i="1"/>
  <c r="AB18" i="1"/>
  <c r="AC18" i="1"/>
  <c r="Y19" i="1"/>
  <c r="Z19" i="1"/>
  <c r="AA19" i="1"/>
  <c r="AB19" i="1"/>
  <c r="AC19" i="1"/>
  <c r="Y20" i="1"/>
  <c r="Z20" i="1"/>
  <c r="AA20" i="1"/>
  <c r="AB20" i="1"/>
  <c r="AC20" i="1"/>
  <c r="Y21" i="1"/>
  <c r="Z21" i="1"/>
  <c r="AA21" i="1"/>
  <c r="AB21" i="1"/>
  <c r="AC21" i="1"/>
  <c r="Y22" i="1"/>
  <c r="Z22" i="1"/>
  <c r="AA22" i="1"/>
  <c r="AB22" i="1"/>
  <c r="AC22" i="1"/>
  <c r="Y23" i="1"/>
  <c r="Z23" i="1"/>
  <c r="AA23" i="1"/>
  <c r="AB23" i="1"/>
  <c r="AC23" i="1"/>
  <c r="Y24" i="1"/>
  <c r="Z24" i="1"/>
  <c r="AA24" i="1"/>
  <c r="AB24" i="1"/>
  <c r="AC24" i="1"/>
  <c r="Y25" i="1"/>
  <c r="Z25" i="1"/>
  <c r="AA25" i="1"/>
  <c r="AB25" i="1"/>
  <c r="AC25" i="1"/>
  <c r="Y26" i="1"/>
  <c r="Z26" i="1"/>
  <c r="AA26" i="1"/>
  <c r="AB26" i="1"/>
  <c r="AC26" i="1"/>
  <c r="Y27" i="1"/>
  <c r="Z27" i="1"/>
  <c r="AA27" i="1"/>
  <c r="AB27" i="1"/>
  <c r="AC27" i="1"/>
  <c r="Y28" i="1"/>
  <c r="Z28" i="1"/>
  <c r="AA28" i="1"/>
  <c r="AB28" i="1"/>
  <c r="AC28" i="1"/>
  <c r="Y29" i="1"/>
  <c r="Z29" i="1"/>
  <c r="AA29" i="1"/>
  <c r="AB29" i="1"/>
  <c r="AC29" i="1"/>
  <c r="Y30" i="1"/>
  <c r="Z30" i="1"/>
  <c r="AA30" i="1"/>
  <c r="AB30" i="1"/>
  <c r="AC30" i="1"/>
  <c r="Y31" i="1"/>
  <c r="Z31" i="1"/>
  <c r="AA31" i="1"/>
  <c r="AB31" i="1"/>
  <c r="AC31" i="1"/>
  <c r="Y32" i="1"/>
  <c r="Z32" i="1"/>
  <c r="AA32" i="1"/>
  <c r="AB32" i="1"/>
  <c r="AC32" i="1"/>
  <c r="Y33" i="1"/>
  <c r="Z33" i="1"/>
  <c r="AA33" i="1"/>
  <c r="AB33" i="1"/>
  <c r="AC33" i="1"/>
  <c r="Y34" i="1"/>
  <c r="Z34" i="1"/>
  <c r="AA34" i="1"/>
  <c r="AB34" i="1"/>
  <c r="AC34" i="1"/>
  <c r="Y35" i="1"/>
  <c r="Z35" i="1"/>
  <c r="AA35" i="1"/>
  <c r="AB35" i="1"/>
  <c r="AC35" i="1"/>
  <c r="Y36" i="1"/>
  <c r="Z36" i="1"/>
  <c r="AA36" i="1"/>
  <c r="AB36" i="1"/>
  <c r="AC36" i="1"/>
  <c r="Y37" i="1"/>
  <c r="Z37" i="1"/>
  <c r="AA37" i="1"/>
  <c r="AB37" i="1"/>
  <c r="AC37" i="1"/>
  <c r="Y38" i="1"/>
  <c r="Z38" i="1"/>
  <c r="AA38" i="1"/>
  <c r="AB38" i="1"/>
  <c r="AC38" i="1"/>
  <c r="Y39" i="1"/>
  <c r="Z39" i="1"/>
  <c r="AA39" i="1"/>
  <c r="AB39" i="1"/>
  <c r="AC39" i="1"/>
  <c r="Y40" i="1"/>
  <c r="Z40" i="1"/>
  <c r="AA40" i="1"/>
  <c r="AB40" i="1"/>
  <c r="AC40" i="1"/>
  <c r="Y41" i="1"/>
  <c r="Z41" i="1"/>
  <c r="AA41" i="1"/>
  <c r="AB41" i="1"/>
  <c r="AC41" i="1"/>
  <c r="Y42" i="1"/>
  <c r="Z42" i="1"/>
  <c r="AA42" i="1"/>
  <c r="AB42" i="1"/>
  <c r="AC42" i="1"/>
  <c r="Y43" i="1"/>
  <c r="Z43" i="1"/>
  <c r="AA43" i="1"/>
  <c r="AB43" i="1"/>
  <c r="AC43" i="1"/>
  <c r="Y44" i="1"/>
  <c r="Z44" i="1"/>
  <c r="AA44" i="1"/>
  <c r="AB44" i="1"/>
  <c r="AC44" i="1"/>
  <c r="Y45" i="1"/>
  <c r="Z45" i="1"/>
  <c r="AA45" i="1"/>
  <c r="AB45" i="1"/>
  <c r="AC45" i="1"/>
  <c r="Y46" i="1"/>
  <c r="Z46" i="1"/>
  <c r="AA46" i="1"/>
  <c r="AB46" i="1"/>
  <c r="AC46" i="1"/>
  <c r="Y47" i="1"/>
  <c r="Z47" i="1"/>
  <c r="AA47" i="1"/>
  <c r="AB47" i="1"/>
  <c r="AC47" i="1"/>
  <c r="Y48" i="1"/>
  <c r="Z48" i="1"/>
  <c r="AA48" i="1"/>
  <c r="AB48" i="1"/>
  <c r="AC48" i="1"/>
  <c r="Y49" i="1"/>
  <c r="Z49" i="1"/>
  <c r="AA49" i="1"/>
  <c r="AB49" i="1"/>
  <c r="AC49" i="1"/>
  <c r="Y50" i="1"/>
  <c r="Z50" i="1"/>
  <c r="AA50" i="1"/>
  <c r="AB50" i="1"/>
  <c r="AC50" i="1"/>
  <c r="Y51" i="1"/>
  <c r="Z51" i="1"/>
  <c r="AA51" i="1"/>
  <c r="AB51" i="1"/>
  <c r="AC51" i="1"/>
  <c r="Y52" i="1"/>
  <c r="Z52" i="1"/>
  <c r="AA52" i="1"/>
  <c r="AB52" i="1"/>
  <c r="AC52" i="1"/>
  <c r="Y53" i="1"/>
  <c r="Z53" i="1"/>
  <c r="AA53" i="1"/>
  <c r="AB53" i="1"/>
  <c r="AC53" i="1"/>
  <c r="Y54" i="1"/>
  <c r="Z54" i="1"/>
  <c r="AA54" i="1"/>
  <c r="AB54" i="1"/>
  <c r="AC54" i="1"/>
  <c r="Y55" i="1"/>
  <c r="Z55" i="1"/>
  <c r="AA55" i="1"/>
  <c r="AB55" i="1"/>
  <c r="AC55" i="1"/>
  <c r="Y56" i="1"/>
  <c r="Z56" i="1"/>
  <c r="AA56" i="1"/>
  <c r="AB56" i="1"/>
  <c r="AC56" i="1"/>
  <c r="Y57" i="1"/>
  <c r="Z57" i="1"/>
  <c r="AA57" i="1"/>
  <c r="AB57" i="1"/>
  <c r="AC57" i="1"/>
  <c r="Y58" i="1"/>
  <c r="Z58" i="1"/>
  <c r="AA58" i="1"/>
  <c r="AB58" i="1"/>
  <c r="AC58" i="1"/>
  <c r="Y59" i="1"/>
  <c r="Z59" i="1"/>
  <c r="AA59" i="1"/>
  <c r="AB59" i="1"/>
  <c r="AC59" i="1"/>
  <c r="Y60" i="1"/>
  <c r="Z60" i="1"/>
  <c r="AA60" i="1"/>
  <c r="AB60" i="1"/>
  <c r="AC60" i="1"/>
  <c r="Y61" i="1"/>
  <c r="Z61" i="1"/>
  <c r="AA61" i="1"/>
  <c r="AB61" i="1"/>
  <c r="AC61" i="1"/>
  <c r="Y62" i="1"/>
  <c r="Z62" i="1"/>
  <c r="AA62" i="1"/>
  <c r="AB62" i="1"/>
  <c r="AC62" i="1"/>
  <c r="Y63" i="1"/>
  <c r="Z63" i="1"/>
  <c r="AA63" i="1"/>
  <c r="AB63" i="1"/>
  <c r="AC63" i="1"/>
  <c r="Y64" i="1"/>
  <c r="Z64" i="1"/>
  <c r="AA64" i="1"/>
  <c r="AB64" i="1"/>
  <c r="AC64" i="1"/>
  <c r="Y65" i="1"/>
  <c r="Z65" i="1"/>
  <c r="AA65" i="1"/>
  <c r="AB65" i="1"/>
  <c r="AC65" i="1"/>
  <c r="Y66" i="1"/>
  <c r="Z66" i="1"/>
  <c r="AA66" i="1"/>
  <c r="AB66" i="1"/>
  <c r="AC66" i="1"/>
  <c r="Y67" i="1"/>
  <c r="Z67" i="1"/>
  <c r="AA67" i="1"/>
  <c r="AB67" i="1"/>
  <c r="AC67" i="1"/>
  <c r="Y68" i="1"/>
  <c r="Z68" i="1"/>
  <c r="AA68" i="1"/>
  <c r="AB68" i="1"/>
  <c r="AC68" i="1"/>
  <c r="Y69" i="1"/>
  <c r="Z69" i="1"/>
  <c r="AA69" i="1"/>
  <c r="AB69" i="1"/>
  <c r="AC69" i="1"/>
  <c r="Y70" i="1"/>
  <c r="Z70" i="1"/>
  <c r="AA70" i="1"/>
  <c r="AB70" i="1"/>
  <c r="AC70" i="1"/>
  <c r="Y71" i="1"/>
  <c r="Z71" i="1"/>
  <c r="AA71" i="1"/>
  <c r="AB71" i="1"/>
  <c r="AC71" i="1"/>
  <c r="Y72" i="1"/>
  <c r="Z72" i="1"/>
  <c r="AA72" i="1"/>
  <c r="AB72" i="1"/>
  <c r="AC72" i="1"/>
  <c r="Y73" i="1"/>
  <c r="Z73" i="1"/>
  <c r="AA73" i="1"/>
  <c r="AB73" i="1"/>
  <c r="AC73" i="1"/>
  <c r="Y74" i="1"/>
  <c r="Z74" i="1"/>
  <c r="AA74" i="1"/>
  <c r="AB74" i="1"/>
  <c r="AC74" i="1"/>
  <c r="Y75" i="1"/>
  <c r="Z75" i="1"/>
  <c r="AA75" i="1"/>
  <c r="AB75" i="1"/>
  <c r="AC75" i="1"/>
  <c r="Y76" i="1"/>
  <c r="Z76" i="1"/>
  <c r="AA76" i="1"/>
  <c r="AB76" i="1"/>
  <c r="AC76" i="1"/>
  <c r="Y77" i="1"/>
  <c r="Z77" i="1"/>
  <c r="AA77" i="1"/>
  <c r="AB77" i="1"/>
  <c r="AC77" i="1"/>
  <c r="Y78" i="1"/>
  <c r="Z78" i="1"/>
  <c r="AA78" i="1"/>
  <c r="AB78" i="1"/>
  <c r="AC78" i="1"/>
  <c r="Y79" i="1"/>
  <c r="Z79" i="1"/>
  <c r="AA79" i="1"/>
  <c r="AB79" i="1"/>
  <c r="AC79" i="1"/>
  <c r="Y80" i="1"/>
  <c r="Z80" i="1"/>
  <c r="AA80" i="1"/>
  <c r="AB80" i="1"/>
  <c r="AC80" i="1"/>
  <c r="Y81" i="1"/>
  <c r="Z81" i="1"/>
  <c r="AA81" i="1"/>
  <c r="AB81" i="1"/>
  <c r="AC81" i="1"/>
  <c r="Y82" i="1"/>
  <c r="Z82" i="1"/>
  <c r="AA82" i="1"/>
  <c r="AB82" i="1"/>
  <c r="AC82" i="1"/>
  <c r="Y83" i="1"/>
  <c r="Z83" i="1"/>
  <c r="AA83" i="1"/>
  <c r="AB83" i="1"/>
  <c r="AC83" i="1"/>
  <c r="Y84" i="1"/>
  <c r="Z84" i="1"/>
  <c r="AA84" i="1"/>
  <c r="AB84" i="1"/>
  <c r="AC84" i="1"/>
  <c r="Y85" i="1"/>
  <c r="Z85" i="1"/>
  <c r="AA85" i="1"/>
  <c r="AB85" i="1"/>
  <c r="AC85" i="1"/>
  <c r="Y86" i="1"/>
  <c r="Z86" i="1"/>
  <c r="AA86" i="1"/>
  <c r="AB86" i="1"/>
  <c r="AC86" i="1"/>
  <c r="Y87" i="1"/>
  <c r="Z87" i="1"/>
  <c r="AA87" i="1"/>
  <c r="AB87" i="1"/>
  <c r="AC87" i="1"/>
  <c r="Y88" i="1"/>
  <c r="Z88" i="1"/>
  <c r="AA88" i="1"/>
  <c r="AB88" i="1"/>
  <c r="AC88" i="1"/>
  <c r="Y89" i="1"/>
  <c r="Z89" i="1"/>
  <c r="AA89" i="1"/>
  <c r="AB89" i="1"/>
  <c r="AC89" i="1"/>
  <c r="Y90" i="1"/>
  <c r="Z90" i="1"/>
  <c r="AA90" i="1"/>
  <c r="AB90" i="1"/>
  <c r="AC90" i="1"/>
  <c r="Y91" i="1"/>
  <c r="Z91" i="1"/>
  <c r="AA91" i="1"/>
  <c r="AB91" i="1"/>
  <c r="AC91" i="1"/>
  <c r="Y92" i="1"/>
  <c r="Z92" i="1"/>
  <c r="AA92" i="1"/>
  <c r="AB92" i="1"/>
  <c r="AC92" i="1"/>
  <c r="Y93" i="1"/>
  <c r="Z93" i="1"/>
  <c r="AA93" i="1"/>
  <c r="AB93" i="1"/>
  <c r="AC93" i="1"/>
  <c r="Y94" i="1"/>
  <c r="Z94" i="1"/>
  <c r="AA94" i="1"/>
  <c r="AB94" i="1"/>
  <c r="AC94" i="1"/>
  <c r="Y95" i="1"/>
  <c r="Z95" i="1"/>
  <c r="AA95" i="1"/>
  <c r="AB95" i="1"/>
  <c r="AC95" i="1"/>
  <c r="Y96" i="1"/>
  <c r="Z96" i="1"/>
  <c r="AA96" i="1"/>
  <c r="AB96" i="1"/>
  <c r="AC96" i="1"/>
  <c r="Y97" i="1"/>
  <c r="Z97" i="1"/>
  <c r="AA97" i="1"/>
  <c r="AB97" i="1"/>
  <c r="AC97" i="1"/>
  <c r="Y98" i="1"/>
  <c r="Z98" i="1"/>
  <c r="AA98" i="1"/>
  <c r="AB98" i="1"/>
  <c r="AC98" i="1"/>
  <c r="Y99" i="1"/>
  <c r="Z99" i="1"/>
  <c r="AA99" i="1"/>
  <c r="AB99" i="1"/>
  <c r="AC99" i="1"/>
  <c r="Y100" i="1"/>
  <c r="Z100" i="1"/>
  <c r="AA100" i="1"/>
  <c r="AB100" i="1"/>
  <c r="AC100" i="1"/>
  <c r="Y101" i="1"/>
  <c r="Z101" i="1"/>
  <c r="AA101" i="1"/>
  <c r="AB101" i="1"/>
  <c r="AC101" i="1"/>
  <c r="Y102" i="1"/>
  <c r="Z102" i="1"/>
  <c r="AA102" i="1"/>
  <c r="AB102" i="1"/>
  <c r="AC102" i="1"/>
  <c r="Y103" i="1"/>
  <c r="Z103" i="1"/>
  <c r="AA103" i="1"/>
  <c r="AB103" i="1"/>
  <c r="AC103" i="1"/>
  <c r="Y104" i="1"/>
  <c r="Z104" i="1"/>
  <c r="AA104" i="1"/>
  <c r="AB104" i="1"/>
  <c r="AC104" i="1"/>
  <c r="Y105" i="1"/>
  <c r="Z105" i="1"/>
  <c r="AA105" i="1"/>
  <c r="AB105" i="1"/>
  <c r="AC105" i="1"/>
  <c r="Y106" i="1"/>
  <c r="Z106" i="1"/>
  <c r="AA106" i="1"/>
  <c r="AB106" i="1"/>
  <c r="AC106" i="1"/>
  <c r="Y107" i="1"/>
  <c r="Z107" i="1"/>
  <c r="AA107" i="1"/>
  <c r="AB107" i="1"/>
  <c r="AC107" i="1"/>
  <c r="Y108" i="1"/>
  <c r="Z108" i="1"/>
  <c r="AA108" i="1"/>
  <c r="AB108" i="1"/>
  <c r="AC108" i="1"/>
  <c r="Y109" i="1"/>
  <c r="Z109" i="1"/>
  <c r="AA109" i="1"/>
  <c r="AB109" i="1"/>
  <c r="AC109" i="1"/>
  <c r="Y110" i="1"/>
  <c r="Z110" i="1"/>
  <c r="AA110" i="1"/>
  <c r="AB110" i="1"/>
  <c r="AC110" i="1"/>
  <c r="Y111" i="1"/>
  <c r="Z111" i="1"/>
  <c r="AA111" i="1"/>
  <c r="AB111" i="1"/>
  <c r="AC111" i="1"/>
  <c r="Y112" i="1"/>
  <c r="Z112" i="1"/>
  <c r="AA112" i="1"/>
  <c r="AB112" i="1"/>
  <c r="AC112" i="1"/>
  <c r="Y113" i="1"/>
  <c r="Z113" i="1"/>
  <c r="AA113" i="1"/>
  <c r="AB113" i="1"/>
  <c r="AC113" i="1"/>
  <c r="Y114" i="1"/>
  <c r="Z114" i="1"/>
  <c r="AA114" i="1"/>
  <c r="AB114" i="1"/>
  <c r="AC114" i="1"/>
  <c r="Y115" i="1"/>
  <c r="Z115" i="1"/>
  <c r="AA115" i="1"/>
  <c r="AB115" i="1"/>
  <c r="AC115" i="1"/>
  <c r="Y116" i="1"/>
  <c r="Z116" i="1"/>
  <c r="AA116" i="1"/>
  <c r="AB116" i="1"/>
  <c r="AC116" i="1"/>
  <c r="Y117" i="1"/>
  <c r="Z117" i="1"/>
  <c r="AA117" i="1"/>
  <c r="AB117" i="1"/>
  <c r="AC117" i="1"/>
  <c r="Y118" i="1"/>
  <c r="Z118" i="1"/>
  <c r="AA118" i="1"/>
  <c r="AB118" i="1"/>
  <c r="AC118" i="1"/>
  <c r="Y119" i="1"/>
  <c r="Z119" i="1"/>
  <c r="AA119" i="1"/>
  <c r="AB119" i="1"/>
  <c r="AC119" i="1"/>
  <c r="Y120" i="1"/>
  <c r="Z120" i="1"/>
  <c r="AA120" i="1"/>
  <c r="AB120" i="1"/>
  <c r="AC120" i="1"/>
  <c r="Y121" i="1"/>
  <c r="Z121" i="1"/>
  <c r="AA121" i="1"/>
  <c r="AB121" i="1"/>
  <c r="AC121" i="1"/>
  <c r="Y122" i="1"/>
  <c r="Z122" i="1"/>
  <c r="AA122" i="1"/>
  <c r="AB122" i="1"/>
  <c r="AC122" i="1"/>
  <c r="Y123" i="1"/>
  <c r="Z123" i="1"/>
  <c r="AA123" i="1"/>
  <c r="AB123" i="1"/>
  <c r="AC123" i="1"/>
  <c r="Y124" i="1"/>
  <c r="Z124" i="1"/>
  <c r="AA124" i="1"/>
  <c r="AB124" i="1"/>
  <c r="AC124" i="1"/>
  <c r="Y125" i="1"/>
  <c r="Z125" i="1"/>
  <c r="AA125" i="1"/>
  <c r="AB125" i="1"/>
  <c r="AC125" i="1"/>
  <c r="Y126" i="1"/>
  <c r="Z126" i="1"/>
  <c r="AA126" i="1"/>
  <c r="AB126" i="1"/>
  <c r="AC126" i="1"/>
  <c r="Y127" i="1"/>
  <c r="Z127" i="1"/>
  <c r="AA127" i="1"/>
  <c r="AB127" i="1"/>
  <c r="AC127" i="1"/>
  <c r="Y128" i="1"/>
  <c r="Z128" i="1"/>
  <c r="AA128" i="1"/>
  <c r="AB128" i="1"/>
  <c r="AC128" i="1"/>
  <c r="Y129" i="1"/>
  <c r="Z129" i="1"/>
  <c r="AA129" i="1"/>
  <c r="AB129" i="1"/>
  <c r="AC129" i="1"/>
  <c r="Y130" i="1"/>
  <c r="Z130" i="1"/>
  <c r="AA130" i="1"/>
  <c r="AB130" i="1"/>
  <c r="AC130" i="1"/>
  <c r="Z4" i="1"/>
  <c r="AA4" i="1"/>
  <c r="AB4" i="1"/>
  <c r="AC4" i="1"/>
  <c r="Y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tc={38A2A75C-4758-463E-B3FB-2700D556FCF2}</author>
    <author>tc={370C5B8D-1132-43F2-A720-E1A9A9A91D0C}</author>
  </authors>
  <commentList>
    <comment ref="O2" authorId="0" shapeId="0" xr:uid="{38A2A75C-4758-463E-B3FB-2700D556FCF2}">
      <text>
        <t>[Threaded comment]
Your version of Excel allows you to read this threaded comment; however, any edits to it will get removed if the file is opened in a newer version of Excel. Learn more: https://go.microsoft.com/fwlink/?linkid=870924
Comment:
    Zelfde uit oude dataset</t>
      </text>
    </comment>
    <comment ref="X2" authorId="1" shapeId="0" xr:uid="{370C5B8D-1132-43F2-A720-E1A9A9A91D0C}">
      <text>
        <t>[Threaded comment]
Your version of Excel allows you to read this threaded comment; however, any edits to it will get removed if the file is opened in a newer version of Excel. Learn more: https://go.microsoft.com/fwlink/?linkid=870924
Comment:
    Mogelijk nog uit plastic portal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tc={3BAB54F0-827A-4B1B-915D-F32703E14D2E}</author>
    <author>tc={0E98CEAC-8E77-4A17-B7AE-216C898E8F27}</author>
  </authors>
  <commentList>
    <comment ref="O2" authorId="0" shapeId="0" xr:uid="{3BAB54F0-827A-4B1B-915D-F32703E14D2E}">
      <text>
        <t>[Threaded comment]
Your version of Excel allows you to read this threaded comment; however, any edits to it will get removed if the file is opened in a newer version of Excel. Learn more: https://go.microsoft.com/fwlink/?linkid=870924
Comment:
    Zelfde uit oude dataset</t>
      </text>
    </comment>
    <comment ref="T2" authorId="1" shapeId="0" xr:uid="{0E98CEAC-8E77-4A17-B7AE-216C898E8F27}">
      <text>
        <t>[Threaded comment]
Your version of Excel allows you to read this threaded comment; however, any edits to it will get removed if the file is opened in a newer version of Excel. Learn more: https://go.microsoft.com/fwlink/?linkid=870924
Comment:
    Mogelijk nog uit plastic portal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tc={91C588DA-4136-4D95-8095-C4E467444E60}</author>
  </authors>
  <commentList>
    <comment ref="N2" authorId="0" shapeId="0" xr:uid="{91C588DA-4136-4D95-8095-C4E467444E60}">
      <text>
        <t>[Threaded comment]
Your version of Excel allows you to read this threaded comment; however, any edits to it will get removed if the file is opened in a newer version of Excel. Learn more: https://go.microsoft.com/fwlink/?linkid=870924
Comment:
    Is dit dan eigenlijk 'algemeen'
Reply:
    Deze heeft Tony gedaan, dus is iig iets uit FAOSTAT. Weet niet precies uit mn hoofd waar ‘hout algemeen’ vandaan komt</t>
      </text>
    </comment>
  </commentList>
</comments>
</file>

<file path=xl/sharedStrings.xml><?xml version="1.0" encoding="utf-8"?>
<sst xmlns="http://schemas.openxmlformats.org/spreadsheetml/2006/main" count="113" uniqueCount="69">
  <si>
    <t>ID</t>
  </si>
  <si>
    <t>Jaar</t>
  </si>
  <si>
    <t>Textiel algemeen</t>
  </si>
  <si>
    <t>Metaal algemeen</t>
  </si>
  <si>
    <t>Leer</t>
  </si>
  <si>
    <t>Hout - Massief</t>
  </si>
  <si>
    <t>Hout - Massief - Naaldhout</t>
  </si>
  <si>
    <t>Hout - Plaatmateriaal</t>
  </si>
  <si>
    <t>Hout - Spaanplaat</t>
  </si>
  <si>
    <t>Hout - Multiplex</t>
  </si>
  <si>
    <t>Hout - MDF</t>
  </si>
  <si>
    <t>RVS 305 (niet genormaliseerd)</t>
  </si>
  <si>
    <t>RVS 305</t>
  </si>
  <si>
    <t>Aluminium</t>
  </si>
  <si>
    <t>Schuim algemeen</t>
  </si>
  <si>
    <t>Polyurethaanschuim LC 2A-6A (niet genormaliseerd)</t>
  </si>
  <si>
    <t>Polyurethaan</t>
  </si>
  <si>
    <t>Katoen (niet genormaliseerd)</t>
  </si>
  <si>
    <t>Katoen</t>
  </si>
  <si>
    <t>Wol (niet genormaliseerd)</t>
  </si>
  <si>
    <t>Wol</t>
  </si>
  <si>
    <t>Thermoloft (non/woven)</t>
  </si>
  <si>
    <t>LDPE (niet genormaliseerd)</t>
  </si>
  <si>
    <t>LDPE</t>
  </si>
  <si>
    <t>LDPE uit PlasticPortal (niet genormaliseerd)</t>
  </si>
  <si>
    <t>PE (niet genormaliseerd)</t>
  </si>
  <si>
    <t>PE</t>
  </si>
  <si>
    <t>Zacht PVC</t>
  </si>
  <si>
    <t>Gerecycled kunststof (niet genormaliseerd)</t>
  </si>
  <si>
    <t>Gerecycled kunststof</t>
  </si>
  <si>
    <t>Hout algemeen</t>
  </si>
  <si>
    <t>Hout - Eiken</t>
  </si>
  <si>
    <t>Hout - Beuken</t>
  </si>
  <si>
    <t>Hout - Sparren</t>
  </si>
  <si>
    <t>Hout - Dennen</t>
  </si>
  <si>
    <t>Gerecycled metaal (niet genormaliseerd)</t>
  </si>
  <si>
    <t>id</t>
  </si>
  <si>
    <t>Textiel</t>
  </si>
  <si>
    <t>Metaal</t>
  </si>
  <si>
    <t>Plastic</t>
  </si>
  <si>
    <t>Hout - Totaal</t>
  </si>
  <si>
    <t>RVS 305 test</t>
  </si>
  <si>
    <t>Polyurethaanschuim LC 2A-6A</t>
  </si>
  <si>
    <t>Polyether LP 1A-6A</t>
  </si>
  <si>
    <t>HD / NSA</t>
  </si>
  <si>
    <t>Staal</t>
  </si>
  <si>
    <t>PCU</t>
  </si>
  <si>
    <t>Thermoloft</t>
  </si>
  <si>
    <t>Biocomposiet</t>
  </si>
  <si>
    <t>EUR(2015)/m³</t>
  </si>
  <si>
    <t>Hout TOTAAL</t>
  </si>
  <si>
    <t>Hout SAWNWOOD</t>
  </si>
  <si>
    <t>Hout SAWNWOOD CONIFEROUS</t>
  </si>
  <si>
    <t>Hout  WOOD BASED PANELS</t>
  </si>
  <si>
    <t>Hout PARTICLE BOARD</t>
  </si>
  <si>
    <t>Hout PLYWOOD AND LVL</t>
  </si>
  <si>
    <t xml:space="preserve">Hout MDF </t>
  </si>
  <si>
    <t>Overgenomen van FAOSTAT_data_en_topWOOD10-21-2025.xlsx (USD/m³)</t>
  </si>
  <si>
    <t>Gecorrigeerd voor wisselkoers naar EUR en inflatie (1015 = 100%)</t>
  </si>
  <si>
    <t>Prijsontwikkeling tov 2015</t>
  </si>
  <si>
    <t>LET OP: gemiddelde van 2016 en 2018; door omstandigheden geen data</t>
  </si>
  <si>
    <t>PVC (zacht)</t>
  </si>
  <si>
    <t>Kunststof algemeen</t>
  </si>
  <si>
    <t>Kunststof (gerecycled)</t>
  </si>
  <si>
    <t>Metaal (gerecycled)</t>
  </si>
  <si>
    <t>Schuim (gerecycled)</t>
  </si>
  <si>
    <t>Triplex</t>
  </si>
  <si>
    <t>Hout - Triplex</t>
  </si>
  <si>
    <t>Hout - Algemeen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</si>
</sst>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 &quot;€&quot;\ * #,##0.00_ ;_ &quot;€&quot;\ * \-#,##0.00_ ;_ &quot;€&quot;\ * &quot;-&quot;??_ ;_ @_ "/>
    <numFmt numFmtId="43" formatCode="_ * #,##0.00_ ;_ * \-#,##0.00_ ;_ * &quot;-&quot;??_ ;_ @_ "/>
    <numFmt numFmtId="164" formatCode="yyyy\-mm\-dd\ hh:mm:ss"/>
    <numFmt numFmtId="165" formatCode="_ &quot;€&quot;\ * #,##0_ ;_ &quot;€&quot;\ * \-#,##0_ ;_ &quot;€&quot;\ * &quot;-&quot;??_ ;_ @_ "/>
    <numFmt numFmtId="166" formatCode="_ * #,##0.000_ ;_ * \-#,##0.000_ ;_ * &quot;-&quot;??_ ;_ @_ "/>
    <numFmt numFmtId="167" formatCode="0.000"/>
  </numFmts>
  <fonts count="16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rgb="FF000000"/>
      <name val="Calibri"/>
      <family val="2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1"/>
      <color rgb="FFFF0000"/>
      <name val="Calibri"/>
      <family val="2"/>
    </font>
    <font>
      <b/>
      <sz val="10"/>
      <color rgb="FF000000"/>
      <name val="Calibri"/>
      <scheme val="minor"/>
    </font>
    <font>
      <b/>
      <sz val="11"/>
      <color rgb="FF000000"/>
      <name val="Calibri"/>
      <family val="2"/>
    </font>
    <font>
      <b/>
      <sz val="11"/>
      <color theme="1"/>
      <name val="Calibri"/>
      <family val="2"/>
    </font>
    <font>
      <b/>
      <sz val="11"/>
      <name val="Calibri"/>
    </font>
    <font>
      <sz val="10"/>
      <color indexed="8"/>
      <name val="Calibri"/>
      <family val="2"/>
      <scheme val="minor"/>
    </font>
    <font>
      <sz val="10"/>
      <name val="Arial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CE6F1"/>
        <bgColor rgb="FF000000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indexed="8"/>
      </right>
      <top style="medium">
        <color indexed="8"/>
      </top>
      <bottom style="medium">
        <color indexed="8"/>
      </bottom>
      <diagonal/>
    </border>
    <border>
      <left/>
      <right/>
      <top style="medium">
        <color indexed="8"/>
      </top>
      <bottom style="medium">
        <color indexed="8"/>
      </bottom>
      <diagonal/>
    </border>
  </borders>
  <cellStyleXfs count="4">
    <xf numFmtId="0" fontId="0" fillId="0" borderId="0"/>
    <xf numFmtId="43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11" fillId="0" borderId="0"/>
  </cellStyleXfs>
  <cellXfs count="56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 vertical="top"/>
    </xf>
    <xf numFmtId="164" fontId="1" fillId="0" borderId="0" xfId="0" applyNumberFormat="1" applyFont="1" applyAlignment="1">
      <alignment horizontal="center" vertical="top"/>
    </xf>
    <xf numFmtId="0" fontId="3" fillId="0" borderId="1" xfId="0" applyFont="1" applyBorder="1"/>
    <xf numFmtId="0" fontId="0" fillId="0" borderId="1" xfId="0" applyBorder="1"/>
    <xf numFmtId="165" fontId="0" fillId="0" borderId="0" xfId="2" applyNumberFormat="1" applyFont="1"/>
    <xf numFmtId="0" fontId="3" fillId="0" borderId="0" xfId="0" applyFont="1" applyAlignment="1">
      <alignment horizontal="left" vertical="center" wrapText="1"/>
    </xf>
    <xf numFmtId="165" fontId="0" fillId="0" borderId="0" xfId="2" applyNumberFormat="1" applyFont="1" applyFill="1"/>
    <xf numFmtId="166" fontId="0" fillId="0" borderId="0" xfId="1" applyNumberFormat="1" applyFont="1"/>
    <xf numFmtId="166" fontId="0" fillId="2" borderId="0" xfId="1" applyNumberFormat="1" applyFont="1" applyFill="1"/>
    <xf numFmtId="0" fontId="5" fillId="2" borderId="0" xfId="0" applyFont="1" applyFill="1" applyAlignment="1">
      <alignment vertical="top" wrapText="1"/>
    </xf>
    <xf numFmtId="0" fontId="1" fillId="2" borderId="1" xfId="0" applyFont="1" applyFill="1" applyBorder="1" applyAlignment="1">
      <alignment horizontal="left" vertical="top"/>
    </xf>
    <xf numFmtId="0" fontId="1" fillId="2" borderId="1" xfId="0" applyFont="1" applyFill="1" applyBorder="1" applyAlignment="1">
      <alignment horizontal="center" vertical="top"/>
    </xf>
    <xf numFmtId="0" fontId="0" fillId="2" borderId="0" xfId="0" applyFill="1"/>
    <xf numFmtId="0" fontId="5" fillId="0" borderId="0" xfId="0" applyFont="1" applyAlignment="1">
      <alignment vertical="top" wrapText="1"/>
    </xf>
    <xf numFmtId="0" fontId="1" fillId="3" borderId="0" xfId="0" applyFont="1" applyFill="1" applyAlignment="1">
      <alignment horizontal="right" vertical="top"/>
    </xf>
    <xf numFmtId="0" fontId="5" fillId="2" borderId="0" xfId="0" applyFont="1" applyFill="1" applyAlignment="1">
      <alignment horizontal="right" vertical="top" wrapText="1"/>
    </xf>
    <xf numFmtId="0" fontId="5" fillId="0" borderId="0" xfId="0" applyFont="1" applyAlignment="1">
      <alignment horizontal="right" vertical="top" wrapText="1"/>
    </xf>
    <xf numFmtId="0" fontId="5" fillId="0" borderId="0" xfId="0" applyFont="1" applyAlignment="1">
      <alignment horizontal="right" vertical="center" wrapText="1"/>
    </xf>
    <xf numFmtId="0" fontId="1" fillId="3" borderId="1" xfId="0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right" vertical="top"/>
    </xf>
    <xf numFmtId="0" fontId="0" fillId="3" borderId="0" xfId="0" applyFill="1" applyAlignment="1">
      <alignment horizontal="right"/>
    </xf>
    <xf numFmtId="0" fontId="0" fillId="2" borderId="0" xfId="0" applyFill="1" applyAlignment="1">
      <alignment horizontal="right"/>
    </xf>
    <xf numFmtId="0" fontId="0" fillId="0" borderId="0" xfId="0" applyAlignment="1">
      <alignment horizontal="right"/>
    </xf>
    <xf numFmtId="0" fontId="2" fillId="0" borderId="0" xfId="0" applyFont="1" applyAlignment="1">
      <alignment horizontal="right"/>
    </xf>
    <xf numFmtId="0" fontId="2" fillId="0" borderId="0" xfId="0" applyFont="1" applyAlignment="1">
      <alignment horizontal="right" vertical="center"/>
    </xf>
    <xf numFmtId="0" fontId="0" fillId="0" borderId="0" xfId="0" applyAlignment="1">
      <alignment horizontal="right" vertical="center"/>
    </xf>
    <xf numFmtId="0" fontId="1" fillId="0" borderId="1" xfId="0" applyFont="1" applyBorder="1" applyAlignment="1">
      <alignment horizontal="right" vertical="top" wrapText="1"/>
    </xf>
    <xf numFmtId="0" fontId="6" fillId="0" borderId="1" xfId="0" applyFont="1" applyBorder="1" applyAlignment="1">
      <alignment horizontal="right" vertical="top" wrapText="1"/>
    </xf>
    <xf numFmtId="0" fontId="0" fillId="0" borderId="4" xfId="0" applyBorder="1"/>
    <xf numFmtId="0" fontId="1" fillId="0" borderId="4" xfId="0" applyFont="1" applyBorder="1" applyAlignment="1">
      <alignment horizontal="right" vertical="top" wrapText="1"/>
    </xf>
    <xf numFmtId="0" fontId="6" fillId="0" borderId="5" xfId="0" applyFont="1" applyBorder="1" applyAlignment="1">
      <alignment horizontal="right" vertical="top" wrapText="1"/>
    </xf>
    <xf numFmtId="0" fontId="1" fillId="0" borderId="2" xfId="0" applyFont="1" applyBorder="1" applyAlignment="1">
      <alignment horizontal="right" vertical="top" wrapText="1"/>
    </xf>
    <xf numFmtId="0" fontId="5" fillId="4" borderId="0" xfId="0" applyFont="1" applyFill="1" applyAlignment="1">
      <alignment horizontal="right" vertical="top" wrapText="1"/>
    </xf>
    <xf numFmtId="0" fontId="8" fillId="0" borderId="3" xfId="0" applyFont="1" applyBorder="1" applyAlignment="1">
      <alignment horizontal="right" vertical="top" wrapText="1"/>
    </xf>
    <xf numFmtId="0" fontId="7" fillId="0" borderId="2" xfId="0" applyFont="1" applyBorder="1" applyAlignment="1">
      <alignment horizontal="right" vertical="top" wrapText="1"/>
    </xf>
    <xf numFmtId="0" fontId="8" fillId="0" borderId="2" xfId="0" applyFont="1" applyBorder="1" applyAlignment="1">
      <alignment horizontal="right" vertical="top" wrapText="1"/>
    </xf>
    <xf numFmtId="0" fontId="6" fillId="0" borderId="3" xfId="0" applyFont="1" applyBorder="1" applyAlignment="1">
      <alignment horizontal="right" vertical="top" wrapText="1"/>
    </xf>
    <xf numFmtId="0" fontId="9" fillId="0" borderId="2" xfId="0" applyFont="1" applyBorder="1" applyAlignment="1">
      <alignment horizontal="right" vertical="top" wrapText="1"/>
    </xf>
    <xf numFmtId="0" fontId="1" fillId="3" borderId="1" xfId="0" applyFont="1" applyFill="1" applyBorder="1" applyAlignment="1">
      <alignment horizontal="right" vertical="top" wrapText="1"/>
    </xf>
    <xf numFmtId="0" fontId="10" fillId="3" borderId="1" xfId="0" applyFont="1" applyFill="1" applyBorder="1" applyAlignment="1">
      <alignment horizontal="right" vertical="top"/>
    </xf>
    <xf numFmtId="0" fontId="10" fillId="3" borderId="0" xfId="0" applyFont="1" applyFill="1" applyAlignment="1">
      <alignment horizontal="right" vertical="top"/>
    </xf>
    <xf numFmtId="0" fontId="9" fillId="0" borderId="5" xfId="0" applyFont="1" applyBorder="1" applyAlignment="1">
      <alignment horizontal="right" vertical="top" wrapText="1"/>
    </xf>
    <xf numFmtId="0" fontId="12" fillId="0" borderId="0" xfId="3" applyFont="1" applyAlignment="1">
      <alignment horizontal="right"/>
    </xf>
    <xf numFmtId="0" fontId="12" fillId="0" borderId="6" xfId="3" applyFont="1" applyBorder="1" applyAlignment="1">
      <alignment horizontal="center" vertical="center" wrapText="1"/>
    </xf>
    <xf numFmtId="167" fontId="0" fillId="0" borderId="0" xfId="0" applyNumberFormat="1"/>
    <xf numFmtId="0" fontId="12" fillId="0" borderId="2" xfId="3" applyFont="1" applyBorder="1" applyAlignment="1">
      <alignment horizontal="center" vertical="center" wrapText="1"/>
    </xf>
    <xf numFmtId="0" fontId="3" fillId="0" borderId="2" xfId="0" applyFont="1" applyBorder="1" applyAlignment="1">
      <alignment horizontal="right" wrapText="1"/>
    </xf>
    <xf numFmtId="0" fontId="12" fillId="0" borderId="7" xfId="3" applyFont="1" applyBorder="1" applyAlignment="1">
      <alignment horizontal="center" vertical="center" wrapText="1"/>
    </xf>
    <xf numFmtId="0" fontId="14" fillId="0" borderId="0" xfId="0" applyFont="1"/>
    <xf numFmtId="0" fontId="14" fillId="0" borderId="2" xfId="0" applyFont="1" applyBorder="1"/>
    <xf numFmtId="0" fontId="15" fillId="0" borderId="2" xfId="0" applyFont="1" applyBorder="1" applyAlignment="1">
      <alignment wrapText="1"/>
    </xf>
    <xf numFmtId="0" fontId="14" fillId="5" borderId="0" xfId="0" applyFont="1" applyFill="1"/>
  </cellXfs>
  <cellStyles count="4">
    <cellStyle name="Comma" xfId="1" builtinId="3"/>
    <cellStyle name="Currency" xfId="2" builtinId="4"/>
    <cellStyle name="Normal" xfId="0" builtinId="0"/>
    <cellStyle name="Normal 2" xfId="3" xr:uid="{383758C4-BEE1-4B9D-897A-94EA73C0E624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2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Bente Snäll" id="{AB6830FC-9C25-4D35-A2A7-5E48088B1352}" userId="S::b.snall@hva.nl::6610b8a6-e4ae-41c2-ac32-d5e66613e80b" providerId="AD"/>
  <person displayName="Pieter Bons" id="{C16BA6D3-1890-4DC4-A1CF-3D0157FD4332}" userId="S::p.c.bons@hva.nl::38102d34-0bd8-4c1a-9059-a8d52a88a25d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O2" dT="2026-02-18T08:08:58.67" personId="{AB6830FC-9C25-4D35-A2A7-5E48088B1352}" id="{38A2A75C-4758-463E-B3FB-2700D556FCF2}">
    <text>Zelfde uit oude dataset</text>
  </threadedComment>
  <threadedComment ref="X2" dT="2026-02-18T08:12:02.68" personId="{AB6830FC-9C25-4D35-A2A7-5E48088B1352}" id="{370C5B8D-1132-43F2-A720-E1A9A9A91D0C}">
    <text>Mogelijk nog uit plastic portal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O2" dT="2026-02-18T08:08:58.67" personId="{AB6830FC-9C25-4D35-A2A7-5E48088B1352}" id="{3BAB54F0-827A-4B1B-915D-F32703E14D2E}">
    <text>Zelfde uit oude dataset</text>
  </threadedComment>
  <threadedComment ref="T2" dT="2026-02-18T08:12:02.68" personId="{AB6830FC-9C25-4D35-A2A7-5E48088B1352}" id="{0E98CEAC-8E77-4A17-B7AE-216C898E8F27}">
    <text>Mogelijk nog uit plastic portal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N2" dT="2026-01-16T13:25:45.69" personId="{AB6830FC-9C25-4D35-A2A7-5E48088B1352}" id="{91C588DA-4136-4D95-8095-C4E467444E60}">
    <text>Is dit dan eigenlijk 'algemeen'</text>
  </threadedComment>
  <threadedComment ref="N2" dT="2026-01-16T13:39:50.53" personId="{C16BA6D3-1890-4DC4-A1CF-3D0157FD4332}" id="{2C2F8FC8-4633-4FC8-85B5-61475F0AD6EF}" parentId="{91C588DA-4136-4D95-8095-C4E467444E60}">
    <text>Deze heeft Tony gedaan, dus is iig iets uit FAOSTAT. Weet niet precies uit mn hoofd waar ‘hout algemeen’ vandaan komt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3.xml"/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9D834-1515-4BFD-9B55-AA63AD191663}">
  <dimension ref="A1:BO136"/>
  <sheetViews>
    <sheetView tabSelected="1" topLeftCell="AA1" workbookViewId="0">
      <selection activeCell="AS2" sqref="AS2"/>
    </sheetView>
  </sheetViews>
  <sheetFormatPr defaultRowHeight="15" customHeight="1" x14ac:dyDescent="0.3"/>
  <cols>
    <col min="1" max="1" width="19.5546875" bestFit="1" customWidth="1"/>
    <col min="2" max="2" width="9.33203125" style="24" customWidth="1"/>
    <col min="3" max="3" width="9.109375" style="24" customWidth="1"/>
    <col min="4" max="5" width="9.109375" style="24"/>
    <col min="6" max="8" width="13.88671875" style="25" customWidth="1"/>
    <col min="9" max="9" width="19" style="25" bestFit="1" customWidth="1"/>
    <col min="10" max="10" width="16.33203125" style="25" bestFit="1" customWidth="1"/>
    <col min="11" max="11" width="21.44140625" style="25" customWidth="1"/>
    <col min="12" max="12" width="13.88671875" style="25" customWidth="1"/>
    <col min="13" max="16" width="13.88671875" style="26" customWidth="1"/>
    <col min="17" max="18" width="12.6640625" style="26" customWidth="1"/>
    <col min="19" max="20" width="12.33203125" style="26" customWidth="1"/>
    <col min="21" max="23" width="13.109375" style="29" customWidth="1"/>
    <col min="24" max="24" width="9.6640625" style="26" customWidth="1"/>
    <col min="25" max="27" width="15.33203125" style="26" customWidth="1"/>
    <col min="28" max="30" width="10.88671875" style="26" customWidth="1"/>
    <col min="31" max="31" width="12.33203125" style="26" customWidth="1"/>
    <col min="32" max="32" width="18" style="26" customWidth="1"/>
  </cols>
  <sheetData>
    <row r="1" spans="1:67" ht="14.4" customHeight="1" thickBot="1" x14ac:dyDescent="0.35">
      <c r="A1" s="4" t="s">
        <v>0</v>
      </c>
      <c r="B1" s="18">
        <v>24</v>
      </c>
      <c r="C1" s="44">
        <v>23</v>
      </c>
      <c r="D1" s="18">
        <v>18</v>
      </c>
      <c r="E1" s="18">
        <v>41</v>
      </c>
      <c r="F1" s="19">
        <v>5</v>
      </c>
      <c r="G1" s="19">
        <v>6</v>
      </c>
      <c r="H1" s="19">
        <v>7</v>
      </c>
      <c r="I1" s="19">
        <v>8</v>
      </c>
      <c r="J1" s="19">
        <v>9</v>
      </c>
      <c r="K1" s="19">
        <v>10</v>
      </c>
      <c r="L1" s="19">
        <v>11</v>
      </c>
      <c r="M1" s="36"/>
      <c r="N1" s="36">
        <v>12</v>
      </c>
      <c r="O1" s="36">
        <v>14</v>
      </c>
      <c r="P1" s="36">
        <v>25</v>
      </c>
      <c r="Q1" s="20"/>
      <c r="R1" s="20">
        <v>15</v>
      </c>
      <c r="S1" s="20"/>
      <c r="T1" s="20">
        <v>16</v>
      </c>
      <c r="U1" s="21"/>
      <c r="V1" s="21">
        <v>17</v>
      </c>
      <c r="W1" s="20">
        <v>19</v>
      </c>
      <c r="X1" s="20"/>
      <c r="Z1" s="20"/>
      <c r="AA1" s="20">
        <v>40</v>
      </c>
      <c r="AB1" s="20"/>
      <c r="AC1" s="20">
        <v>20</v>
      </c>
      <c r="AD1" s="20">
        <v>21</v>
      </c>
      <c r="AE1" s="20"/>
      <c r="AF1" s="20">
        <v>22</v>
      </c>
      <c r="AG1" s="20">
        <v>30</v>
      </c>
      <c r="AH1" s="20">
        <v>31</v>
      </c>
      <c r="AI1" s="20">
        <v>32</v>
      </c>
      <c r="AJ1" s="20">
        <v>33</v>
      </c>
      <c r="AK1" s="20">
        <v>34</v>
      </c>
      <c r="AL1" s="20">
        <v>35</v>
      </c>
      <c r="AM1" s="20">
        <v>36</v>
      </c>
      <c r="AN1" s="20">
        <v>37</v>
      </c>
      <c r="AP1">
        <v>42</v>
      </c>
      <c r="AQ1" s="20">
        <v>22</v>
      </c>
      <c r="AR1" s="52"/>
      <c r="AS1" s="52">
        <v>43</v>
      </c>
    </row>
    <row r="2" spans="1:67" s="7" customFormat="1" ht="45.75" customHeight="1" thickBot="1" x14ac:dyDescent="0.35">
      <c r="A2" s="1" t="s">
        <v>1</v>
      </c>
      <c r="B2" s="42" t="s">
        <v>2</v>
      </c>
      <c r="C2" s="43" t="s">
        <v>3</v>
      </c>
      <c r="D2" s="22" t="s">
        <v>4</v>
      </c>
      <c r="E2" s="42" t="s">
        <v>62</v>
      </c>
      <c r="F2" s="23" t="s">
        <v>68</v>
      </c>
      <c r="G2" s="23" t="s">
        <v>5</v>
      </c>
      <c r="H2" s="23" t="s">
        <v>6</v>
      </c>
      <c r="I2" s="23" t="s">
        <v>7</v>
      </c>
      <c r="J2" s="23" t="s">
        <v>8</v>
      </c>
      <c r="K2" s="23" t="s">
        <v>9</v>
      </c>
      <c r="L2" s="23" t="s">
        <v>10</v>
      </c>
      <c r="M2" s="30" t="s">
        <v>11</v>
      </c>
      <c r="N2" s="30" t="s">
        <v>12</v>
      </c>
      <c r="O2" s="30" t="s">
        <v>13</v>
      </c>
      <c r="P2" s="30" t="s">
        <v>14</v>
      </c>
      <c r="Q2" s="30" t="s">
        <v>15</v>
      </c>
      <c r="R2" s="30" t="s">
        <v>16</v>
      </c>
      <c r="S2" s="33" t="s">
        <v>17</v>
      </c>
      <c r="T2" s="33" t="s">
        <v>18</v>
      </c>
      <c r="U2" s="30" t="s">
        <v>19</v>
      </c>
      <c r="V2" s="30" t="s">
        <v>20</v>
      </c>
      <c r="W2" s="30" t="s">
        <v>21</v>
      </c>
      <c r="X2" s="31" t="s">
        <v>22</v>
      </c>
      <c r="Y2" s="40" t="s">
        <v>23</v>
      </c>
      <c r="Z2" s="41" t="s">
        <v>24</v>
      </c>
      <c r="AA2" s="45" t="s">
        <v>23</v>
      </c>
      <c r="AB2" s="39" t="s">
        <v>25</v>
      </c>
      <c r="AC2" s="39" t="s">
        <v>26</v>
      </c>
      <c r="AD2" s="39" t="s">
        <v>61</v>
      </c>
      <c r="AE2" s="38" t="s">
        <v>28</v>
      </c>
      <c r="AF2" s="35" t="s">
        <v>63</v>
      </c>
      <c r="AG2" s="47" t="s">
        <v>30</v>
      </c>
      <c r="AH2" s="47" t="s">
        <v>31</v>
      </c>
      <c r="AI2" s="51" t="s">
        <v>32</v>
      </c>
      <c r="AJ2" s="49" t="s">
        <v>33</v>
      </c>
      <c r="AK2" s="49" t="s">
        <v>34</v>
      </c>
      <c r="AL2" s="49" t="s">
        <v>10</v>
      </c>
      <c r="AM2" s="49" t="s">
        <v>9</v>
      </c>
      <c r="AN2" s="49" t="s">
        <v>8</v>
      </c>
      <c r="AO2" s="50" t="s">
        <v>35</v>
      </c>
      <c r="AP2" s="50" t="s">
        <v>64</v>
      </c>
      <c r="AQ2" s="35" t="s">
        <v>65</v>
      </c>
      <c r="AR2" s="53" t="s">
        <v>66</v>
      </c>
      <c r="AS2" s="54" t="s">
        <v>67</v>
      </c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 s="32"/>
    </row>
    <row r="3" spans="1:67" ht="14.4" x14ac:dyDescent="0.3">
      <c r="A3" s="5">
        <v>42005</v>
      </c>
      <c r="B3">
        <v>1</v>
      </c>
      <c r="C3">
        <v>1</v>
      </c>
      <c r="D3">
        <v>1</v>
      </c>
      <c r="E3">
        <v>1</v>
      </c>
      <c r="F3" s="25">
        <f t="shared" ref="F3" si="0">VLOOKUP(YEAR($A3),_HOUT_INDEX_TAB,COLUMN(A2)+1,FALSE)+(VLOOKUP(YEAR($A3)+1,_HOUT_INDEX_TAB,COLUMN(A2)+1,FALSE)-VLOOKUP(YEAR($A3),_HOUT_INDEX_TAB,COLUMN(A2)+1,FALSE))*((MONTH($A3)-1)/12)</f>
        <v>1</v>
      </c>
      <c r="G3" s="25">
        <f t="shared" ref="G3" si="1">VLOOKUP(YEAR($A3),_HOUT_INDEX_TAB,COLUMN(B2)+1,FALSE)+(VLOOKUP(YEAR($A3)+1,_HOUT_INDEX_TAB,COLUMN(B2)+1,FALSE)-VLOOKUP(YEAR($A3),_HOUT_INDEX_TAB,COLUMN(B2)+1,FALSE))*((MONTH($A3)-1)/12)</f>
        <v>1</v>
      </c>
      <c r="H3" s="25">
        <f t="shared" ref="H3" si="2">VLOOKUP(YEAR($A3),_HOUT_INDEX_TAB,COLUMN(C2)+1,FALSE)+(VLOOKUP(YEAR($A3)+1,_HOUT_INDEX_TAB,COLUMN(C2)+1,FALSE)-VLOOKUP(YEAR($A3),_HOUT_INDEX_TAB,COLUMN(C2)+1,FALSE))*((MONTH($A3)-1)/12)</f>
        <v>1</v>
      </c>
      <c r="I3" s="25">
        <f t="shared" ref="I3" si="3">VLOOKUP(YEAR($A3),_HOUT_INDEX_TAB,COLUMN(D2)+1,FALSE)+(VLOOKUP(YEAR($A3)+1,_HOUT_INDEX_TAB,COLUMN(D2)+1,FALSE)-VLOOKUP(YEAR($A3),_HOUT_INDEX_TAB,COLUMN(D2)+1,FALSE))*((MONTH($A3)-1)/12)</f>
        <v>1</v>
      </c>
      <c r="J3" s="25">
        <f t="shared" ref="J3" si="4">VLOOKUP(YEAR($A3),_HOUT_INDEX_TAB,COLUMN(E2)+1,FALSE)+(VLOOKUP(YEAR($A3)+1,_HOUT_INDEX_TAB,COLUMN(E2)+1,FALSE)-VLOOKUP(YEAR($A3),_HOUT_INDEX_TAB,COLUMN(E2)+1,FALSE))*((MONTH($A3)-1)/12)</f>
        <v>1</v>
      </c>
      <c r="K3" s="25">
        <f t="shared" ref="K3" si="5">VLOOKUP(YEAR($A3),_HOUT_INDEX_TAB,COLUMN(F2)+1,FALSE)+(VLOOKUP(YEAR($A3)+1,_HOUT_INDEX_TAB,COLUMN(F2)+1,FALSE)-VLOOKUP(YEAR($A3),_HOUT_INDEX_TAB,COLUMN(F2)+1,FALSE))*((MONTH($A3)-1)/12)</f>
        <v>1</v>
      </c>
      <c r="L3" s="25">
        <f t="shared" ref="L3" si="6">VLOOKUP(YEAR($A3),_HOUT_INDEX_TAB,COLUMN(G2)+1,FALSE)+(VLOOKUP(YEAR($A3)+1,_HOUT_INDEX_TAB,COLUMN(G2)+1,FALSE)-VLOOKUP(YEAR($A3),_HOUT_INDEX_TAB,COLUMN(G2)+1,FALSE))*((MONTH($A3)-1)/12)</f>
        <v>1</v>
      </c>
      <c r="M3" s="2">
        <v>102</v>
      </c>
      <c r="N3" s="27">
        <v>1</v>
      </c>
      <c r="O3" s="26">
        <v>1</v>
      </c>
      <c r="P3">
        <v>1</v>
      </c>
      <c r="Q3" s="2">
        <v>146.69999999999999</v>
      </c>
      <c r="R3" s="2">
        <v>1</v>
      </c>
      <c r="S3" s="2">
        <v>149.30000000000001</v>
      </c>
      <c r="T3" s="2">
        <v>1</v>
      </c>
      <c r="U3" s="2">
        <v>905.99792000000002</v>
      </c>
      <c r="V3" s="2">
        <v>1</v>
      </c>
      <c r="W3">
        <v>1</v>
      </c>
      <c r="X3" s="2">
        <v>103.6</v>
      </c>
      <c r="Y3" s="2">
        <v>1</v>
      </c>
      <c r="Z3" s="2"/>
      <c r="AA3" s="2"/>
      <c r="AB3" s="2">
        <v>103.6</v>
      </c>
      <c r="AC3" s="2">
        <v>1</v>
      </c>
      <c r="AD3">
        <v>1</v>
      </c>
      <c r="AE3" s="2">
        <v>86.3</v>
      </c>
      <c r="AF3" s="27">
        <v>1</v>
      </c>
      <c r="AG3" s="46">
        <v>1</v>
      </c>
      <c r="AH3" s="46">
        <v>1</v>
      </c>
      <c r="AI3" s="46">
        <v>1</v>
      </c>
      <c r="AJ3" s="46">
        <v>1</v>
      </c>
      <c r="AK3" s="46">
        <v>1</v>
      </c>
      <c r="AM3" s="48">
        <v>1</v>
      </c>
      <c r="AN3" s="48">
        <v>1</v>
      </c>
      <c r="AO3" s="2">
        <v>419.9</v>
      </c>
      <c r="AP3">
        <v>1</v>
      </c>
      <c r="AQ3" s="27">
        <v>1</v>
      </c>
      <c r="AR3" s="55">
        <v>206</v>
      </c>
      <c r="AS3" s="55">
        <v>1</v>
      </c>
    </row>
    <row r="4" spans="1:67" ht="14.4" x14ac:dyDescent="0.3">
      <c r="A4" s="5">
        <v>42036</v>
      </c>
      <c r="B4">
        <v>1.001064962726304</v>
      </c>
      <c r="C4">
        <v>1</v>
      </c>
      <c r="D4">
        <v>1.003191489361702</v>
      </c>
      <c r="E4">
        <v>0.99325842696629218</v>
      </c>
      <c r="F4" s="25">
        <f t="shared" ref="F4:F67" si="7">VLOOKUP(YEAR($A4),_HOUT_INDEX_TAB,COLUMN(A3)+1,FALSE)+(VLOOKUP(YEAR($A4)+1,_HOUT_INDEX_TAB,COLUMN(A3)+1,FALSE)-VLOOKUP(YEAR($A4),_HOUT_INDEX_TAB,COLUMN(A3)+1,FALSE))*((MONTH($A4)-1)/12)</f>
        <v>0.99855992575937458</v>
      </c>
      <c r="G4" s="25">
        <f t="shared" ref="G4:G67" si="8">VLOOKUP(YEAR($A4),_HOUT_INDEX_TAB,COLUMN(B3)+1,FALSE)+(VLOOKUP(YEAR($A4)+1,_HOUT_INDEX_TAB,COLUMN(B3)+1,FALSE)-VLOOKUP(YEAR($A4),_HOUT_INDEX_TAB,COLUMN(B3)+1,FALSE))*((MONTH($A4)-1)/12)</f>
        <v>1.000139499840043</v>
      </c>
      <c r="H4" s="25">
        <f t="shared" ref="H4:H67" si="9">VLOOKUP(YEAR($A4),_HOUT_INDEX_TAB,COLUMN(C3)+1,FALSE)+(VLOOKUP(YEAR($A4)+1,_HOUT_INDEX_TAB,COLUMN(C3)+1,FALSE)-VLOOKUP(YEAR($A4),_HOUT_INDEX_TAB,COLUMN(C3)+1,FALSE))*((MONTH($A4)-1)/12)</f>
        <v>1.0020958612302626</v>
      </c>
      <c r="I4" s="25">
        <f t="shared" ref="I4:I67" si="10">VLOOKUP(YEAR($A4),_HOUT_INDEX_TAB,COLUMN(D3)+1,FALSE)+(VLOOKUP(YEAR($A4)+1,_HOUT_INDEX_TAB,COLUMN(D3)+1,FALSE)-VLOOKUP(YEAR($A4),_HOUT_INDEX_TAB,COLUMN(D3)+1,FALSE))*((MONTH($A4)-1)/12)</f>
        <v>0.99646355707067935</v>
      </c>
      <c r="J4" s="25">
        <f t="shared" ref="J4:J67" si="11">VLOOKUP(YEAR($A4),_HOUT_INDEX_TAB,COLUMN(E3)+1,FALSE)+(VLOOKUP(YEAR($A4)+1,_HOUT_INDEX_TAB,COLUMN(E3)+1,FALSE)-VLOOKUP(YEAR($A4),_HOUT_INDEX_TAB,COLUMN(E3)+1,FALSE))*((MONTH($A4)-1)/12)</f>
        <v>0.99568655003463924</v>
      </c>
      <c r="K4" s="25">
        <f t="shared" ref="K4:K67" si="12">VLOOKUP(YEAR($A4),_HOUT_INDEX_TAB,COLUMN(F3)+1,FALSE)+(VLOOKUP(YEAR($A4)+1,_HOUT_INDEX_TAB,COLUMN(F3)+1,FALSE)-VLOOKUP(YEAR($A4),_HOUT_INDEX_TAB,COLUMN(F3)+1,FALSE))*((MONTH($A4)-1)/12)</f>
        <v>0.99735584146183953</v>
      </c>
      <c r="L4" s="25">
        <f t="shared" ref="L4:L67" si="13">VLOOKUP(YEAR($A4),_HOUT_INDEX_TAB,COLUMN(G3)+1,FALSE)+(VLOOKUP(YEAR($A4)+1,_HOUT_INDEX_TAB,COLUMN(G3)+1,FALSE)-VLOOKUP(YEAR($A4),_HOUT_INDEX_TAB,COLUMN(G3)+1,FALSE))*((MONTH($A4)-1)/12)</f>
        <v>0.9972587336748947</v>
      </c>
      <c r="M4" s="2">
        <v>101.2</v>
      </c>
      <c r="N4" s="27">
        <v>0.99215686274509807</v>
      </c>
      <c r="O4" s="26">
        <v>1.018973214285714</v>
      </c>
      <c r="P4">
        <v>0.98337292161520184</v>
      </c>
      <c r="Q4" s="2">
        <v>145.4</v>
      </c>
      <c r="R4" s="2">
        <f>Q4/$Q$3</f>
        <v>0.99113837764144519</v>
      </c>
      <c r="S4" s="2">
        <v>149.19999999999999</v>
      </c>
      <c r="T4" s="2">
        <f>S4/$S$3</f>
        <v>0.99933020763563285</v>
      </c>
      <c r="U4" s="2">
        <v>891.64363577297797</v>
      </c>
      <c r="V4" s="2">
        <f>U4/$U$3</f>
        <v>0.984156382801605</v>
      </c>
      <c r="W4">
        <v>1</v>
      </c>
      <c r="X4" s="2">
        <v>102.8</v>
      </c>
      <c r="Y4" s="2">
        <f>X4/$X$3</f>
        <v>0.99227799227799229</v>
      </c>
      <c r="Z4" s="2"/>
      <c r="AA4" s="2"/>
      <c r="AB4" s="2">
        <v>102.8</v>
      </c>
      <c r="AC4" s="2">
        <f t="shared" ref="AC4:AC35" si="14">AB4/$AB$3</f>
        <v>0.99227799227799229</v>
      </c>
      <c r="AD4">
        <v>0.99325842696629218</v>
      </c>
      <c r="AE4" s="2">
        <v>81.3</v>
      </c>
      <c r="AF4" s="27">
        <f>AE4/$AE$3</f>
        <v>0.94206257242178448</v>
      </c>
      <c r="AG4" s="46">
        <v>1.0039024390243902</v>
      </c>
      <c r="AH4" s="46">
        <v>1.0311871227364184</v>
      </c>
      <c r="AI4" s="46">
        <v>1.0040281973816718</v>
      </c>
      <c r="AJ4" s="46">
        <v>1.0019342359767891</v>
      </c>
      <c r="AK4" s="46">
        <v>0.99321047526673145</v>
      </c>
      <c r="AM4" s="48">
        <v>0.9844660194174758</v>
      </c>
      <c r="AN4" s="48">
        <v>0.99203640500568824</v>
      </c>
      <c r="AO4" s="2">
        <v>348.1</v>
      </c>
      <c r="AP4">
        <f>AO4/AO3</f>
        <v>0.82900690640628727</v>
      </c>
      <c r="AQ4" s="27">
        <f>AP4/$AE$3</f>
        <v>9.6061055203509535E-3</v>
      </c>
      <c r="AR4" s="52">
        <v>202.8</v>
      </c>
      <c r="AS4" s="52">
        <v>0.98446601899999997</v>
      </c>
    </row>
    <row r="5" spans="1:67" ht="14.4" x14ac:dyDescent="0.3">
      <c r="A5" s="5">
        <v>42064</v>
      </c>
      <c r="B5">
        <v>1.0031948881789139</v>
      </c>
      <c r="C5">
        <v>1.001117318435754</v>
      </c>
      <c r="D5">
        <v>1.0042553191489361</v>
      </c>
      <c r="E5">
        <v>0.99325842696629218</v>
      </c>
      <c r="F5" s="25">
        <f t="shared" si="7"/>
        <v>0.99711985151874916</v>
      </c>
      <c r="G5" s="25">
        <f t="shared" si="8"/>
        <v>1.0002789996800863</v>
      </c>
      <c r="H5" s="25">
        <f t="shared" si="9"/>
        <v>1.0041917224605252</v>
      </c>
      <c r="I5" s="25">
        <f t="shared" si="10"/>
        <v>0.9929271141413587</v>
      </c>
      <c r="J5" s="25">
        <f t="shared" si="11"/>
        <v>0.99137310006927837</v>
      </c>
      <c r="K5" s="25">
        <f t="shared" si="12"/>
        <v>0.99471168292367906</v>
      </c>
      <c r="L5" s="25">
        <f t="shared" si="13"/>
        <v>0.99451746734978941</v>
      </c>
      <c r="M5" s="2">
        <v>100.6</v>
      </c>
      <c r="N5" s="27">
        <v>0.98627450980392151</v>
      </c>
      <c r="O5" s="26">
        <v>1.0234375</v>
      </c>
      <c r="P5">
        <v>0.99406175771971494</v>
      </c>
      <c r="Q5" s="2">
        <v>146.1</v>
      </c>
      <c r="R5" s="2">
        <f t="shared" ref="R5:R68" si="15">Q5/$Q$3</f>
        <v>0.99591002044989774</v>
      </c>
      <c r="S5" s="2">
        <v>149.1</v>
      </c>
      <c r="T5" s="2">
        <f t="shared" ref="T5:T68" si="16">S5/$S$3</f>
        <v>0.99866041527126581</v>
      </c>
      <c r="U5" s="2">
        <v>874.5761</v>
      </c>
      <c r="V5" s="2">
        <f t="shared" ref="V5:V68" si="17">U5/$U$3</f>
        <v>0.96531799984706368</v>
      </c>
      <c r="W5">
        <v>1.0021097046413501</v>
      </c>
      <c r="X5" s="2">
        <v>100.1</v>
      </c>
      <c r="Y5" s="2">
        <f t="shared" ref="Y5:Y68" si="18">X5/$X$3</f>
        <v>0.96621621621621623</v>
      </c>
      <c r="Z5" s="2"/>
      <c r="AA5" s="2"/>
      <c r="AB5" s="2">
        <v>100.1</v>
      </c>
      <c r="AC5" s="2">
        <f>AB5/$AB$3</f>
        <v>0.96621621621621623</v>
      </c>
      <c r="AD5">
        <v>0.99325842696629196</v>
      </c>
      <c r="AE5" s="2">
        <v>80</v>
      </c>
      <c r="AF5" s="27">
        <f t="shared" ref="AF5:AF35" si="19">AE5/$AE$3</f>
        <v>0.92699884125144849</v>
      </c>
      <c r="AG5" s="46">
        <v>1.0019512195121951</v>
      </c>
      <c r="AH5" s="46">
        <v>1.0201207243460764</v>
      </c>
      <c r="AI5" s="46">
        <v>1.0020140986908359</v>
      </c>
      <c r="AJ5" s="46">
        <v>0.99709864603481613</v>
      </c>
      <c r="AK5" s="46">
        <v>0.99224054316197874</v>
      </c>
      <c r="AM5" s="48">
        <v>0.98883495145631062</v>
      </c>
      <c r="AN5" s="48">
        <v>0.98805460750853225</v>
      </c>
      <c r="AO5" s="2">
        <v>334.9</v>
      </c>
      <c r="AP5">
        <f t="shared" ref="AP5:AP68" si="20">AO5/AO4</f>
        <v>0.96207986210858931</v>
      </c>
      <c r="AQ5" s="27">
        <f t="shared" ref="AQ5:AQ68" si="21">AP5/$AE$3</f>
        <v>1.1148086467075196E-2</v>
      </c>
      <c r="AR5" s="52">
        <v>203.7</v>
      </c>
      <c r="AS5" s="52">
        <v>0.98883495099999996</v>
      </c>
    </row>
    <row r="6" spans="1:67" ht="14.4" x14ac:dyDescent="0.3">
      <c r="A6" s="5">
        <v>42095</v>
      </c>
      <c r="B6">
        <v>1.0031948881789139</v>
      </c>
      <c r="C6">
        <v>1.001117318435754</v>
      </c>
      <c r="D6">
        <v>1.0053191489361699</v>
      </c>
      <c r="E6">
        <v>0.99550561797752801</v>
      </c>
      <c r="F6" s="25">
        <f t="shared" si="7"/>
        <v>0.99567977727812362</v>
      </c>
      <c r="G6" s="25">
        <f t="shared" si="8"/>
        <v>1.0004184995201295</v>
      </c>
      <c r="H6" s="25">
        <f t="shared" si="9"/>
        <v>1.0062875836907876</v>
      </c>
      <c r="I6" s="25">
        <f t="shared" si="10"/>
        <v>0.98939067121203794</v>
      </c>
      <c r="J6" s="25">
        <f t="shared" si="11"/>
        <v>0.98705965010391761</v>
      </c>
      <c r="K6" s="25">
        <f t="shared" si="12"/>
        <v>0.9920675243855186</v>
      </c>
      <c r="L6" s="25">
        <f t="shared" si="13"/>
        <v>0.99177620102468411</v>
      </c>
      <c r="M6" s="2">
        <v>100.4</v>
      </c>
      <c r="N6" s="27">
        <v>0.98431372549019613</v>
      </c>
      <c r="O6" s="26">
        <v>1.029017857142857</v>
      </c>
      <c r="P6">
        <v>1.015439429928741</v>
      </c>
      <c r="Q6" s="2">
        <v>145.19999999999999</v>
      </c>
      <c r="R6" s="2">
        <f t="shared" si="15"/>
        <v>0.9897750511247444</v>
      </c>
      <c r="S6" s="2">
        <v>147.5</v>
      </c>
      <c r="T6" s="2">
        <f t="shared" si="16"/>
        <v>0.98794373744139308</v>
      </c>
      <c r="U6" s="2">
        <v>884.98166249999997</v>
      </c>
      <c r="V6" s="2">
        <f t="shared" si="17"/>
        <v>0.97680319453713527</v>
      </c>
      <c r="W6">
        <v>0.9978902953586497</v>
      </c>
      <c r="X6" s="2">
        <v>99.5</v>
      </c>
      <c r="Y6" s="2">
        <f t="shared" si="18"/>
        <v>0.96042471042471045</v>
      </c>
      <c r="Z6" s="2"/>
      <c r="AA6" s="2"/>
      <c r="AB6" s="2">
        <v>99.5</v>
      </c>
      <c r="AC6" s="2">
        <f t="shared" si="14"/>
        <v>0.96042471042471045</v>
      </c>
      <c r="AD6">
        <v>0.99550561797752801</v>
      </c>
      <c r="AE6" s="2">
        <v>79.7</v>
      </c>
      <c r="AF6" s="27">
        <f t="shared" si="19"/>
        <v>0.92352259559675554</v>
      </c>
      <c r="AG6" s="46">
        <v>0.99609756097560975</v>
      </c>
      <c r="AH6" s="46">
        <v>0.99295774647887325</v>
      </c>
      <c r="AI6" s="46">
        <v>1.0030211480362536</v>
      </c>
      <c r="AJ6" s="46">
        <v>0.99516441005802703</v>
      </c>
      <c r="AK6" s="46">
        <v>0.98836081474296811</v>
      </c>
      <c r="AM6" s="48">
        <v>0.98737864077669901</v>
      </c>
      <c r="AN6" s="48">
        <v>0.97781569965870307</v>
      </c>
      <c r="AO6" s="2">
        <v>335</v>
      </c>
      <c r="AP6">
        <f t="shared" si="20"/>
        <v>1.000298596595999</v>
      </c>
      <c r="AQ6" s="27">
        <f t="shared" si="21"/>
        <v>1.1590945499374264E-2</v>
      </c>
      <c r="AR6" s="52">
        <v>203.4</v>
      </c>
      <c r="AS6" s="52">
        <v>0.98737864099999995</v>
      </c>
    </row>
    <row r="7" spans="1:67" ht="14.4" x14ac:dyDescent="0.3">
      <c r="A7" s="5">
        <v>42125</v>
      </c>
      <c r="B7">
        <v>1.0042598509052181</v>
      </c>
      <c r="C7">
        <v>1</v>
      </c>
      <c r="D7">
        <v>1.0053191489361699</v>
      </c>
      <c r="E7">
        <v>1.0078651685393261</v>
      </c>
      <c r="F7" s="25">
        <f t="shared" si="7"/>
        <v>0.9942397030374982</v>
      </c>
      <c r="G7" s="25">
        <f t="shared" si="8"/>
        <v>1.0005579993601725</v>
      </c>
      <c r="H7" s="25">
        <f t="shared" si="9"/>
        <v>1.0083834449210503</v>
      </c>
      <c r="I7" s="25">
        <f t="shared" si="10"/>
        <v>0.98585422828271729</v>
      </c>
      <c r="J7" s="25">
        <f t="shared" si="11"/>
        <v>0.98274620013855685</v>
      </c>
      <c r="K7" s="25">
        <f t="shared" si="12"/>
        <v>0.98942336584735813</v>
      </c>
      <c r="L7" s="25">
        <f t="shared" si="13"/>
        <v>0.98903493469957882</v>
      </c>
      <c r="M7" s="2">
        <v>99.3</v>
      </c>
      <c r="N7" s="27">
        <v>0.97352941176470587</v>
      </c>
      <c r="O7" s="26">
        <v>1.03125</v>
      </c>
      <c r="P7">
        <v>1.0308788598574821</v>
      </c>
      <c r="Q7" s="2">
        <v>145.4</v>
      </c>
      <c r="R7" s="2">
        <f t="shared" si="15"/>
        <v>0.99113837764144519</v>
      </c>
      <c r="S7" s="2">
        <v>149.4</v>
      </c>
      <c r="T7" s="2">
        <f t="shared" si="16"/>
        <v>1.000669792364367</v>
      </c>
      <c r="U7" s="2">
        <v>990.58036249999998</v>
      </c>
      <c r="V7" s="2">
        <f t="shared" si="17"/>
        <v>1.0933583186371996</v>
      </c>
      <c r="W7">
        <v>0.99578059071729963</v>
      </c>
      <c r="X7" s="2">
        <v>99.9</v>
      </c>
      <c r="Y7" s="2">
        <f t="shared" si="18"/>
        <v>0.96428571428571441</v>
      </c>
      <c r="Z7" s="2"/>
      <c r="AA7" s="2"/>
      <c r="AB7" s="2">
        <v>99.9</v>
      </c>
      <c r="AC7" s="2">
        <f t="shared" si="14"/>
        <v>0.96428571428571441</v>
      </c>
      <c r="AD7">
        <v>1.0078651685393261</v>
      </c>
      <c r="AE7" s="2">
        <v>79.2</v>
      </c>
      <c r="AF7" s="27">
        <f t="shared" si="19"/>
        <v>0.91772885283893402</v>
      </c>
      <c r="AG7" s="46">
        <v>0.98243902439024389</v>
      </c>
      <c r="AH7" s="46">
        <v>0.99899396378269611</v>
      </c>
      <c r="AI7" s="46">
        <v>1.0110775427995973</v>
      </c>
      <c r="AJ7" s="46">
        <v>0.97775628626692446</v>
      </c>
      <c r="AK7" s="46">
        <v>0.98157129000969945</v>
      </c>
      <c r="AM7" s="48">
        <v>0.9713592233009708</v>
      </c>
      <c r="AN7" s="48">
        <v>0.97042093287827069</v>
      </c>
      <c r="AO7" s="2">
        <v>341.1</v>
      </c>
      <c r="AP7">
        <f t="shared" si="20"/>
        <v>1.0182089552238807</v>
      </c>
      <c r="AQ7" s="27">
        <f t="shared" si="21"/>
        <v>1.1798481520554818E-2</v>
      </c>
      <c r="AR7" s="52">
        <v>200.1</v>
      </c>
      <c r="AS7" s="52">
        <v>0.97135922299999999</v>
      </c>
    </row>
    <row r="8" spans="1:67" ht="14.4" x14ac:dyDescent="0.3">
      <c r="A8" s="5">
        <v>42156</v>
      </c>
      <c r="B8">
        <v>1.0053248136315229</v>
      </c>
      <c r="C8">
        <v>1.001117318435754</v>
      </c>
      <c r="D8">
        <v>1.0085106382978719</v>
      </c>
      <c r="E8">
        <v>1.0157303370786519</v>
      </c>
      <c r="F8" s="25">
        <f t="shared" si="7"/>
        <v>0.99279962879687278</v>
      </c>
      <c r="G8" s="25">
        <f t="shared" si="8"/>
        <v>1.0006974992002156</v>
      </c>
      <c r="H8" s="25">
        <f t="shared" si="9"/>
        <v>1.0104793061513129</v>
      </c>
      <c r="I8" s="25">
        <f t="shared" si="10"/>
        <v>0.98231778535339664</v>
      </c>
      <c r="J8" s="25">
        <f t="shared" si="11"/>
        <v>0.97843275017319598</v>
      </c>
      <c r="K8" s="25">
        <f t="shared" si="12"/>
        <v>0.98677920730919766</v>
      </c>
      <c r="L8" s="25">
        <f t="shared" si="13"/>
        <v>0.98629366837447352</v>
      </c>
      <c r="M8" s="2">
        <v>98.8</v>
      </c>
      <c r="N8" s="27">
        <v>0.96862745098039216</v>
      </c>
      <c r="O8" s="26">
        <v>1.022321428571429</v>
      </c>
      <c r="P8">
        <v>1.0415676959619951</v>
      </c>
      <c r="Q8" s="2">
        <v>144.80000000000001</v>
      </c>
      <c r="R8" s="2">
        <f t="shared" si="15"/>
        <v>0.98704839809134304</v>
      </c>
      <c r="S8" s="2">
        <v>149.5</v>
      </c>
      <c r="T8" s="2">
        <f t="shared" si="16"/>
        <v>1.0013395847287341</v>
      </c>
      <c r="U8" s="2">
        <v>1040.0109383101101</v>
      </c>
      <c r="V8" s="2">
        <f t="shared" si="17"/>
        <v>1.1479175783429061</v>
      </c>
      <c r="W8">
        <v>0.99472573839662448</v>
      </c>
      <c r="X8" s="2">
        <v>99.6</v>
      </c>
      <c r="Y8" s="2">
        <f t="shared" si="18"/>
        <v>0.96138996138996136</v>
      </c>
      <c r="Z8" s="2"/>
      <c r="AA8" s="2"/>
      <c r="AB8" s="2">
        <v>99.6</v>
      </c>
      <c r="AC8" s="2">
        <f t="shared" si="14"/>
        <v>0.96138996138996136</v>
      </c>
      <c r="AD8">
        <v>1.0157303370786519</v>
      </c>
      <c r="AE8" s="2">
        <v>79.7</v>
      </c>
      <c r="AF8" s="27">
        <f t="shared" si="19"/>
        <v>0.92352259559675554</v>
      </c>
      <c r="AG8" s="46">
        <v>0.97658536585365852</v>
      </c>
      <c r="AH8" s="46">
        <v>0.99798792756539234</v>
      </c>
      <c r="AI8" s="46">
        <v>0.97885196374622363</v>
      </c>
      <c r="AJ8" s="46">
        <v>0.97292069632495148</v>
      </c>
      <c r="AK8" s="46">
        <v>0.96799224054316202</v>
      </c>
      <c r="AM8" s="48">
        <v>0.96553398058252426</v>
      </c>
      <c r="AN8" s="48">
        <v>0.98179749715585884</v>
      </c>
      <c r="AO8" s="2">
        <v>354.3</v>
      </c>
      <c r="AP8">
        <f t="shared" si="20"/>
        <v>1.0386983289357958</v>
      </c>
      <c r="AQ8" s="27">
        <f t="shared" si="21"/>
        <v>1.2035901841666233E-2</v>
      </c>
      <c r="AR8" s="52">
        <v>198.9</v>
      </c>
      <c r="AS8" s="52">
        <v>0.96553398099999999</v>
      </c>
    </row>
    <row r="9" spans="1:67" ht="14.4" x14ac:dyDescent="0.3">
      <c r="A9" s="5">
        <v>42186</v>
      </c>
      <c r="B9">
        <v>1.0053248136315229</v>
      </c>
      <c r="C9">
        <v>1</v>
      </c>
      <c r="D9">
        <v>1.0085106382978719</v>
      </c>
      <c r="E9">
        <v>1.024719101123595</v>
      </c>
      <c r="F9" s="25">
        <f t="shared" si="7"/>
        <v>0.99135955455624725</v>
      </c>
      <c r="G9" s="25">
        <f t="shared" si="8"/>
        <v>1.0008369990402588</v>
      </c>
      <c r="H9" s="25">
        <f t="shared" si="9"/>
        <v>1.0125751673815755</v>
      </c>
      <c r="I9" s="25">
        <f t="shared" si="10"/>
        <v>0.97878134242407588</v>
      </c>
      <c r="J9" s="25">
        <f t="shared" si="11"/>
        <v>0.97411930020783521</v>
      </c>
      <c r="K9" s="25">
        <f t="shared" si="12"/>
        <v>0.98413504877103719</v>
      </c>
      <c r="L9" s="25">
        <f t="shared" si="13"/>
        <v>0.98355240204936822</v>
      </c>
      <c r="M9" s="2">
        <v>98.3</v>
      </c>
      <c r="N9" s="27">
        <v>0.96372549019607845</v>
      </c>
      <c r="O9" s="26">
        <v>1.011160714285714</v>
      </c>
      <c r="P9">
        <v>1.04750593824228</v>
      </c>
      <c r="Q9" s="2">
        <v>146.19999999999999</v>
      </c>
      <c r="R9" s="2">
        <f t="shared" si="15"/>
        <v>0.99659168370824813</v>
      </c>
      <c r="S9" s="2">
        <v>149.4</v>
      </c>
      <c r="T9" s="2">
        <f t="shared" si="16"/>
        <v>1.000669792364367</v>
      </c>
      <c r="U9" s="2">
        <v>959.11782500000004</v>
      </c>
      <c r="V9" s="2">
        <f t="shared" si="17"/>
        <v>1.0586313763281046</v>
      </c>
      <c r="W9">
        <v>1.0031645569620249</v>
      </c>
      <c r="X9" s="2">
        <v>99.2</v>
      </c>
      <c r="Y9" s="2">
        <f t="shared" si="18"/>
        <v>0.95752895752895761</v>
      </c>
      <c r="Z9" s="2"/>
      <c r="AA9" s="2"/>
      <c r="AB9" s="2">
        <v>99.2</v>
      </c>
      <c r="AC9" s="2">
        <f t="shared" si="14"/>
        <v>0.95752895752895761</v>
      </c>
      <c r="AD9">
        <v>1.024719101123595</v>
      </c>
      <c r="AE9" s="2">
        <v>80.099999999999994</v>
      </c>
      <c r="AF9" s="27">
        <f t="shared" si="19"/>
        <v>0.92815758980301266</v>
      </c>
      <c r="AG9" s="46">
        <v>0.96390243902439021</v>
      </c>
      <c r="AH9" s="46">
        <v>0.98792756539235405</v>
      </c>
      <c r="AI9" s="46">
        <v>0.95367573011077544</v>
      </c>
      <c r="AJ9" s="46">
        <v>0.96711798839458407</v>
      </c>
      <c r="AK9" s="46">
        <v>0.96314258001939868</v>
      </c>
      <c r="AM9" s="48">
        <v>0.95922330097087372</v>
      </c>
      <c r="AN9" s="48">
        <v>0.97895335608646183</v>
      </c>
      <c r="AO9" s="2">
        <v>340.3</v>
      </c>
      <c r="AP9">
        <f t="shared" si="20"/>
        <v>0.96048546429579451</v>
      </c>
      <c r="AQ9" s="27">
        <f t="shared" si="21"/>
        <v>1.1129611405513263E-2</v>
      </c>
      <c r="AR9" s="52">
        <v>197.6</v>
      </c>
      <c r="AS9" s="52">
        <v>0.95922330099999997</v>
      </c>
    </row>
    <row r="10" spans="1:67" ht="14.4" x14ac:dyDescent="0.3">
      <c r="A10" s="5">
        <v>42217</v>
      </c>
      <c r="B10">
        <v>1.0053248136315229</v>
      </c>
      <c r="C10">
        <v>1</v>
      </c>
      <c r="D10">
        <v>1.0085106382978719</v>
      </c>
      <c r="E10">
        <v>1.0258426966292129</v>
      </c>
      <c r="F10" s="25">
        <f t="shared" si="7"/>
        <v>0.98991948031562182</v>
      </c>
      <c r="G10" s="25">
        <f t="shared" si="8"/>
        <v>1.000976498880302</v>
      </c>
      <c r="H10" s="25">
        <f t="shared" si="9"/>
        <v>1.0146710286118381</v>
      </c>
      <c r="I10" s="25">
        <f t="shared" si="10"/>
        <v>0.97524489949475524</v>
      </c>
      <c r="J10" s="25">
        <f t="shared" si="11"/>
        <v>0.96980585024247445</v>
      </c>
      <c r="K10" s="25">
        <f t="shared" si="12"/>
        <v>0.98149089023287683</v>
      </c>
      <c r="L10" s="25">
        <f t="shared" si="13"/>
        <v>0.98081113572426304</v>
      </c>
      <c r="M10" s="2">
        <v>98.5</v>
      </c>
      <c r="N10" s="27">
        <v>0.96568627450980393</v>
      </c>
      <c r="O10" s="26">
        <v>0.9988839285714286</v>
      </c>
      <c r="P10">
        <v>1.036817102137767</v>
      </c>
      <c r="Q10" s="2">
        <v>145.1</v>
      </c>
      <c r="R10" s="2">
        <f t="shared" si="15"/>
        <v>0.989093387866394</v>
      </c>
      <c r="S10" s="2">
        <v>149.30000000000001</v>
      </c>
      <c r="T10" s="2">
        <f t="shared" si="16"/>
        <v>1</v>
      </c>
      <c r="U10" s="2">
        <v>962.40845000000002</v>
      </c>
      <c r="V10" s="2">
        <f t="shared" si="17"/>
        <v>1.0622634210904149</v>
      </c>
      <c r="W10">
        <v>1.010548523206751</v>
      </c>
      <c r="X10" s="2">
        <v>99.8</v>
      </c>
      <c r="Y10" s="2">
        <f t="shared" si="18"/>
        <v>0.96332046332046339</v>
      </c>
      <c r="Z10" s="2"/>
      <c r="AA10" s="2"/>
      <c r="AB10" s="2">
        <v>99.8</v>
      </c>
      <c r="AC10" s="2">
        <f t="shared" si="14"/>
        <v>0.96332046332046339</v>
      </c>
      <c r="AD10">
        <v>1.0258426966292129</v>
      </c>
      <c r="AE10" s="2">
        <v>79.3</v>
      </c>
      <c r="AF10" s="27">
        <f t="shared" si="19"/>
        <v>0.9188876013904983</v>
      </c>
      <c r="AG10" s="46">
        <v>0.9590243902439024</v>
      </c>
      <c r="AH10" s="46">
        <v>0.97686116700201198</v>
      </c>
      <c r="AI10" s="46">
        <v>0.93856998992950658</v>
      </c>
      <c r="AJ10" s="46">
        <v>0.95067698259187616</v>
      </c>
      <c r="AK10" s="46">
        <v>0.96896217264791473</v>
      </c>
      <c r="AM10" s="48">
        <v>0.94611650485436893</v>
      </c>
      <c r="AN10" s="48">
        <v>0.97042093287827069</v>
      </c>
      <c r="AO10" s="2">
        <v>314.7</v>
      </c>
      <c r="AP10">
        <f t="shared" si="20"/>
        <v>0.92477225977079036</v>
      </c>
      <c r="AQ10" s="27">
        <f t="shared" si="21"/>
        <v>1.0715785165362576E-2</v>
      </c>
      <c r="AR10" s="52">
        <v>194.9</v>
      </c>
      <c r="AS10" s="52">
        <v>0.946116505</v>
      </c>
    </row>
    <row r="11" spans="1:67" ht="14.4" x14ac:dyDescent="0.3">
      <c r="A11" s="5">
        <v>42248</v>
      </c>
      <c r="B11">
        <v>1.0063897763578269</v>
      </c>
      <c r="C11">
        <v>0.99888268156424587</v>
      </c>
      <c r="D11">
        <v>1.0106382978723401</v>
      </c>
      <c r="E11">
        <v>1.023595505617978</v>
      </c>
      <c r="F11" s="25">
        <f t="shared" si="7"/>
        <v>0.9884794060749964</v>
      </c>
      <c r="G11" s="25">
        <f t="shared" si="8"/>
        <v>1.0011159987203451</v>
      </c>
      <c r="H11" s="25">
        <f t="shared" si="9"/>
        <v>1.0167668898421007</v>
      </c>
      <c r="I11" s="25">
        <f t="shared" si="10"/>
        <v>0.97170845656543459</v>
      </c>
      <c r="J11" s="25">
        <f t="shared" si="11"/>
        <v>0.96549240027711358</v>
      </c>
      <c r="K11" s="25">
        <f t="shared" si="12"/>
        <v>0.97884673169471637</v>
      </c>
      <c r="L11" s="25">
        <f t="shared" si="13"/>
        <v>0.97806986939915774</v>
      </c>
      <c r="M11" s="2">
        <v>97.9</v>
      </c>
      <c r="N11" s="27">
        <v>0.95980392156862748</v>
      </c>
      <c r="O11" s="26">
        <v>0.9799107142857143</v>
      </c>
      <c r="P11">
        <v>1.021377672209026</v>
      </c>
      <c r="Q11" s="2">
        <v>143.30000000000001</v>
      </c>
      <c r="R11" s="2">
        <f t="shared" si="15"/>
        <v>0.97682344921608744</v>
      </c>
      <c r="S11" s="2">
        <v>149.30000000000001</v>
      </c>
      <c r="T11" s="2">
        <f t="shared" si="16"/>
        <v>1</v>
      </c>
      <c r="U11" s="2">
        <v>901.25301818181799</v>
      </c>
      <c r="V11" s="2">
        <f t="shared" si="17"/>
        <v>0.99476278950156749</v>
      </c>
      <c r="W11">
        <v>1.010548523206751</v>
      </c>
      <c r="X11" s="2">
        <v>98.6</v>
      </c>
      <c r="Y11" s="2">
        <f t="shared" si="18"/>
        <v>0.95173745173745172</v>
      </c>
      <c r="Z11" s="2"/>
      <c r="AA11" s="2"/>
      <c r="AB11" s="2">
        <v>98.6</v>
      </c>
      <c r="AC11" s="2">
        <f t="shared" si="14"/>
        <v>0.95173745173745172</v>
      </c>
      <c r="AD11">
        <v>1.023595505617978</v>
      </c>
      <c r="AE11" s="2">
        <v>78.2</v>
      </c>
      <c r="AF11" s="27">
        <f t="shared" si="19"/>
        <v>0.90614136732329087</v>
      </c>
      <c r="AG11" s="46">
        <v>0.96097560975609753</v>
      </c>
      <c r="AH11" s="46">
        <v>1.0311871227364184</v>
      </c>
      <c r="AI11" s="46">
        <v>1.05337361530715</v>
      </c>
      <c r="AJ11" s="46">
        <v>0.94003868471953578</v>
      </c>
      <c r="AK11" s="46">
        <v>0.96023278370514065</v>
      </c>
      <c r="AM11" s="48">
        <v>0.94271844660194171</v>
      </c>
      <c r="AN11" s="48">
        <v>0.98577929465301484</v>
      </c>
      <c r="AO11" s="2">
        <v>303</v>
      </c>
      <c r="AP11">
        <f t="shared" si="20"/>
        <v>0.96282173498570067</v>
      </c>
      <c r="AQ11" s="27">
        <f t="shared" si="21"/>
        <v>1.1156682908293171E-2</v>
      </c>
      <c r="AR11" s="52">
        <v>194.2</v>
      </c>
      <c r="AS11" s="52">
        <v>0.94271844699999996</v>
      </c>
    </row>
    <row r="12" spans="1:67" ht="14.4" x14ac:dyDescent="0.3">
      <c r="A12" s="5">
        <v>42278</v>
      </c>
      <c r="B12">
        <v>1.0063897763578269</v>
      </c>
      <c r="C12">
        <v>0.99888268156424587</v>
      </c>
      <c r="D12">
        <v>1.009574468085106</v>
      </c>
      <c r="E12">
        <v>1.017977528089888</v>
      </c>
      <c r="F12" s="25">
        <f t="shared" si="7"/>
        <v>0.98703933183437098</v>
      </c>
      <c r="G12" s="25">
        <f t="shared" si="8"/>
        <v>1.0012554985603881</v>
      </c>
      <c r="H12" s="25">
        <f t="shared" si="9"/>
        <v>1.0188627510723633</v>
      </c>
      <c r="I12" s="25">
        <f t="shared" si="10"/>
        <v>0.96817201363611394</v>
      </c>
      <c r="J12" s="25">
        <f t="shared" si="11"/>
        <v>0.96117895031175282</v>
      </c>
      <c r="K12" s="25">
        <f t="shared" si="12"/>
        <v>0.9762025731565559</v>
      </c>
      <c r="L12" s="25">
        <f t="shared" si="13"/>
        <v>0.97532860307405245</v>
      </c>
      <c r="M12" s="2">
        <v>96.6</v>
      </c>
      <c r="N12" s="27">
        <v>0.94705882352941173</v>
      </c>
      <c r="O12" s="26">
        <v>0.96763392857142871</v>
      </c>
      <c r="P12">
        <v>1.0071258907363421</v>
      </c>
      <c r="Q12" s="2">
        <v>143.30000000000001</v>
      </c>
      <c r="R12" s="2">
        <f t="shared" si="15"/>
        <v>0.97682344921608744</v>
      </c>
      <c r="S12" s="2">
        <v>149.4</v>
      </c>
      <c r="T12" s="2">
        <f t="shared" si="16"/>
        <v>1.000669792364367</v>
      </c>
      <c r="U12" s="2">
        <v>882.42510909090902</v>
      </c>
      <c r="V12" s="2">
        <f t="shared" si="17"/>
        <v>0.97398138517901789</v>
      </c>
      <c r="W12">
        <v>1.0052742616033761</v>
      </c>
      <c r="X12" s="2">
        <v>97.7</v>
      </c>
      <c r="Y12" s="2">
        <f t="shared" si="18"/>
        <v>0.94305019305019311</v>
      </c>
      <c r="Z12" s="2"/>
      <c r="AA12" s="2"/>
      <c r="AB12" s="2">
        <v>97.7</v>
      </c>
      <c r="AC12" s="2">
        <f t="shared" si="14"/>
        <v>0.94305019305019311</v>
      </c>
      <c r="AD12">
        <v>1.017977528089888</v>
      </c>
      <c r="AE12" s="2">
        <v>75.099999999999994</v>
      </c>
      <c r="AF12" s="27">
        <f t="shared" si="19"/>
        <v>0.87022016222479714</v>
      </c>
      <c r="AG12" s="46">
        <v>0.95414634146341459</v>
      </c>
      <c r="AH12" s="46">
        <v>0.98893360160965782</v>
      </c>
      <c r="AI12" s="46">
        <v>1.0725075528700907</v>
      </c>
      <c r="AJ12" s="46">
        <v>0.93617021276595735</v>
      </c>
      <c r="AK12" s="46">
        <v>0.93501454898157144</v>
      </c>
      <c r="AM12" s="48">
        <v>0.9563106796116505</v>
      </c>
      <c r="AN12" s="48">
        <v>1.0102389078498293</v>
      </c>
      <c r="AO12" s="2">
        <v>247.3</v>
      </c>
      <c r="AP12">
        <f t="shared" si="20"/>
        <v>0.81617161716171616</v>
      </c>
      <c r="AQ12" s="27">
        <f t="shared" si="21"/>
        <v>9.4573767921403967E-3</v>
      </c>
      <c r="AR12" s="52">
        <v>197</v>
      </c>
      <c r="AS12" s="52">
        <v>0.95631067999999997</v>
      </c>
    </row>
    <row r="13" spans="1:67" ht="14.4" x14ac:dyDescent="0.3">
      <c r="A13" s="5">
        <v>42309</v>
      </c>
      <c r="B13">
        <v>1.007454739084132</v>
      </c>
      <c r="C13">
        <v>0.99664804469273749</v>
      </c>
      <c r="D13">
        <v>1.0117021276595739</v>
      </c>
      <c r="E13">
        <v>1.0134831460674161</v>
      </c>
      <c r="F13" s="25">
        <f t="shared" si="7"/>
        <v>0.98559925759374556</v>
      </c>
      <c r="G13" s="25">
        <f t="shared" si="8"/>
        <v>1.0013949984004313</v>
      </c>
      <c r="H13" s="25">
        <f t="shared" si="9"/>
        <v>1.0209586123026257</v>
      </c>
      <c r="I13" s="25">
        <f t="shared" si="10"/>
        <v>0.96463557070679329</v>
      </c>
      <c r="J13" s="25">
        <f t="shared" si="11"/>
        <v>0.95686550034639206</v>
      </c>
      <c r="K13" s="25">
        <f t="shared" si="12"/>
        <v>0.97355841461839543</v>
      </c>
      <c r="L13" s="25">
        <f t="shared" si="13"/>
        <v>0.97258733674894715</v>
      </c>
      <c r="M13" s="2">
        <v>96.1</v>
      </c>
      <c r="N13" s="27">
        <v>0.94215686274509802</v>
      </c>
      <c r="O13" s="26">
        <v>0.95647321428571441</v>
      </c>
      <c r="P13">
        <v>1.002375296912114</v>
      </c>
      <c r="Q13" s="2">
        <v>143.30000000000001</v>
      </c>
      <c r="R13" s="2">
        <f t="shared" si="15"/>
        <v>0.97682344921608744</v>
      </c>
      <c r="S13" s="2">
        <v>149.1</v>
      </c>
      <c r="T13" s="2">
        <f t="shared" si="16"/>
        <v>0.99866041527126581</v>
      </c>
      <c r="U13" s="2">
        <v>918.05923037338005</v>
      </c>
      <c r="V13" s="2">
        <f t="shared" si="17"/>
        <v>1.0133127351698334</v>
      </c>
      <c r="W13">
        <v>1.004219409282701</v>
      </c>
      <c r="X13" s="2">
        <v>97.1</v>
      </c>
      <c r="Y13" s="2">
        <f t="shared" si="18"/>
        <v>0.93725868725868722</v>
      </c>
      <c r="Z13" s="2"/>
      <c r="AA13" s="2"/>
      <c r="AB13" s="2">
        <v>97.1</v>
      </c>
      <c r="AC13" s="2">
        <f t="shared" si="14"/>
        <v>0.93725868725868722</v>
      </c>
      <c r="AD13">
        <v>1.0134831460674161</v>
      </c>
      <c r="AE13" s="2">
        <v>75.2</v>
      </c>
      <c r="AF13" s="27">
        <f t="shared" si="19"/>
        <v>0.87137891077636154</v>
      </c>
      <c r="AG13" s="46">
        <v>0.95512195121951227</v>
      </c>
      <c r="AH13" s="46">
        <v>1.0171026156941649</v>
      </c>
      <c r="AI13" s="46">
        <v>1.042296072507553</v>
      </c>
      <c r="AJ13" s="46">
        <v>0.93133462282398449</v>
      </c>
      <c r="AK13" s="46">
        <v>0.9437439379243453</v>
      </c>
      <c r="AM13" s="48">
        <v>0.94708737864077663</v>
      </c>
      <c r="AN13" s="48">
        <v>1.0568828213879409</v>
      </c>
      <c r="AO13" s="2">
        <v>227.3</v>
      </c>
      <c r="AP13">
        <f t="shared" si="20"/>
        <v>0.91912656692276584</v>
      </c>
      <c r="AQ13" s="27">
        <f t="shared" si="21"/>
        <v>1.0650365781260322E-2</v>
      </c>
      <c r="AR13" s="52">
        <v>195.1</v>
      </c>
      <c r="AS13" s="52">
        <v>0.94708737899999995</v>
      </c>
    </row>
    <row r="14" spans="1:67" ht="14.4" x14ac:dyDescent="0.3">
      <c r="A14" s="5">
        <v>42339</v>
      </c>
      <c r="B14">
        <v>1.007454739084132</v>
      </c>
      <c r="C14">
        <v>0.99664804469273749</v>
      </c>
      <c r="D14">
        <v>1.0106382978723401</v>
      </c>
      <c r="E14">
        <v>1.01123595505618</v>
      </c>
      <c r="F14" s="25">
        <f t="shared" si="7"/>
        <v>0.98415918335312003</v>
      </c>
      <c r="G14" s="25">
        <f t="shared" si="8"/>
        <v>1.0015344982404746</v>
      </c>
      <c r="H14" s="25">
        <f t="shared" si="9"/>
        <v>1.0230544735328884</v>
      </c>
      <c r="I14" s="25">
        <f t="shared" si="10"/>
        <v>0.96109912777747253</v>
      </c>
      <c r="J14" s="25">
        <f t="shared" si="11"/>
        <v>0.95255205038103119</v>
      </c>
      <c r="K14" s="25">
        <f t="shared" si="12"/>
        <v>0.97091425608023496</v>
      </c>
      <c r="L14" s="25">
        <f t="shared" si="13"/>
        <v>0.96984607042384186</v>
      </c>
      <c r="M14" s="2">
        <v>97.6</v>
      </c>
      <c r="N14" s="27">
        <v>0.95686274509803915</v>
      </c>
      <c r="O14" s="26">
        <v>0.94754464285714302</v>
      </c>
      <c r="P14">
        <v>1.0011876484560569</v>
      </c>
      <c r="Q14" s="2">
        <v>143.30000000000001</v>
      </c>
      <c r="R14" s="2">
        <f t="shared" si="15"/>
        <v>0.97682344921608744</v>
      </c>
      <c r="S14" s="2">
        <v>149.1</v>
      </c>
      <c r="T14" s="2">
        <f t="shared" si="16"/>
        <v>0.99866041527126581</v>
      </c>
      <c r="U14" s="2">
        <v>947.33058541081402</v>
      </c>
      <c r="V14" s="2">
        <f t="shared" si="17"/>
        <v>1.0456211482370887</v>
      </c>
      <c r="W14">
        <v>1.0021097046413501</v>
      </c>
      <c r="X14" s="2">
        <v>97.1</v>
      </c>
      <c r="Y14" s="2">
        <f t="shared" si="18"/>
        <v>0.93725868725868722</v>
      </c>
      <c r="Z14" s="2"/>
      <c r="AA14" s="2"/>
      <c r="AB14" s="2">
        <v>97.1</v>
      </c>
      <c r="AC14" s="2">
        <f t="shared" si="14"/>
        <v>0.93725868725868722</v>
      </c>
      <c r="AD14">
        <v>1.01123595505618</v>
      </c>
      <c r="AE14" s="2">
        <v>73.7</v>
      </c>
      <c r="AF14" s="27">
        <f t="shared" si="19"/>
        <v>0.85399768250289698</v>
      </c>
      <c r="AG14" s="46">
        <v>0.95219512195121947</v>
      </c>
      <c r="AH14" s="46">
        <v>1.0291750503018107</v>
      </c>
      <c r="AI14" s="46">
        <v>1.0221550855991943</v>
      </c>
      <c r="AJ14" s="46">
        <v>0.93617021276595735</v>
      </c>
      <c r="AK14" s="46">
        <v>0.94471387002909812</v>
      </c>
      <c r="AM14" s="48">
        <v>0.93737864077669897</v>
      </c>
      <c r="AN14" s="48">
        <v>1.046075085324232</v>
      </c>
      <c r="AO14" s="2">
        <v>227.9</v>
      </c>
      <c r="AP14">
        <f t="shared" si="20"/>
        <v>1.0026396832380113</v>
      </c>
      <c r="AQ14" s="27">
        <f t="shared" si="21"/>
        <v>1.1618072806929449E-2</v>
      </c>
      <c r="AR14" s="52">
        <v>193.1</v>
      </c>
      <c r="AS14" s="52">
        <v>0.93737864100000001</v>
      </c>
    </row>
    <row r="15" spans="1:67" ht="14.4" x14ac:dyDescent="0.3">
      <c r="A15" s="5">
        <v>42370</v>
      </c>
      <c r="B15">
        <v>1.008519701810437</v>
      </c>
      <c r="C15">
        <v>0.99553072625698313</v>
      </c>
      <c r="D15">
        <v>1.0127659574468091</v>
      </c>
      <c r="E15">
        <v>1.008988764044944</v>
      </c>
      <c r="F15" s="25">
        <f t="shared" si="7"/>
        <v>0.9827191091124946</v>
      </c>
      <c r="G15" s="25">
        <f t="shared" si="8"/>
        <v>1.0016739980805176</v>
      </c>
      <c r="H15" s="25">
        <f t="shared" si="9"/>
        <v>1.025150334763151</v>
      </c>
      <c r="I15" s="25">
        <f t="shared" si="10"/>
        <v>0.95756268484815188</v>
      </c>
      <c r="J15" s="25">
        <f t="shared" si="11"/>
        <v>0.94823860041567043</v>
      </c>
      <c r="K15" s="25">
        <f t="shared" si="12"/>
        <v>0.96827009754207449</v>
      </c>
      <c r="L15" s="25">
        <f t="shared" si="13"/>
        <v>0.96710480409873656</v>
      </c>
      <c r="M15" s="2">
        <v>98.4</v>
      </c>
      <c r="N15" s="27">
        <v>0.96470588235294119</v>
      </c>
      <c r="O15" s="26">
        <v>0.9319196428571429</v>
      </c>
      <c r="P15">
        <v>0.99287410926365782</v>
      </c>
      <c r="Q15" s="2">
        <v>143</v>
      </c>
      <c r="R15" s="2">
        <f t="shared" si="15"/>
        <v>0.97477845944103625</v>
      </c>
      <c r="S15" s="2">
        <v>148.9</v>
      </c>
      <c r="T15" s="2">
        <f t="shared" si="16"/>
        <v>0.99732083054253173</v>
      </c>
      <c r="U15" s="2">
        <v>934.43755714285703</v>
      </c>
      <c r="V15" s="2">
        <f t="shared" si="17"/>
        <v>1.031390400038509</v>
      </c>
      <c r="W15">
        <v>0.99367088607594944</v>
      </c>
      <c r="X15" s="2">
        <v>96.3</v>
      </c>
      <c r="Y15" s="2">
        <f t="shared" si="18"/>
        <v>0.92953667953667951</v>
      </c>
      <c r="Z15" s="2"/>
      <c r="AA15" s="2"/>
      <c r="AB15" s="2">
        <v>96.3</v>
      </c>
      <c r="AC15" s="2">
        <f t="shared" si="14"/>
        <v>0.92953667953667951</v>
      </c>
      <c r="AD15">
        <v>1.008988764044944</v>
      </c>
      <c r="AE15" s="2">
        <v>72.7</v>
      </c>
      <c r="AF15" s="27">
        <f t="shared" si="19"/>
        <v>0.84241019698725383</v>
      </c>
      <c r="AG15" s="46">
        <v>0.95219512195121947</v>
      </c>
      <c r="AH15" s="46">
        <v>1.028169014084507</v>
      </c>
      <c r="AI15" s="46">
        <v>1.0231621349446123</v>
      </c>
      <c r="AJ15" s="46">
        <v>0.9352030947775628</v>
      </c>
      <c r="AK15" s="46">
        <v>0.93501454898157144</v>
      </c>
      <c r="AM15" s="48">
        <v>0.93786407766990287</v>
      </c>
      <c r="AN15" s="48">
        <v>1.0386803185437996</v>
      </c>
      <c r="AO15" s="2">
        <v>243.1</v>
      </c>
      <c r="AP15">
        <f t="shared" si="20"/>
        <v>1.0666959192628345</v>
      </c>
      <c r="AQ15" s="27">
        <f t="shared" si="21"/>
        <v>1.2360323514053702E-2</v>
      </c>
      <c r="AR15" s="55">
        <v>193.2</v>
      </c>
      <c r="AS15" s="55">
        <v>0.93786407800000005</v>
      </c>
    </row>
    <row r="16" spans="1:67" ht="14.4" x14ac:dyDescent="0.3">
      <c r="A16" s="5">
        <v>42401</v>
      </c>
      <c r="B16">
        <v>1.0063897763578269</v>
      </c>
      <c r="C16">
        <v>0.99329608938547498</v>
      </c>
      <c r="D16">
        <v>1.0117021276595739</v>
      </c>
      <c r="E16">
        <v>1.0011235955056179</v>
      </c>
      <c r="F16" s="25">
        <f t="shared" si="7"/>
        <v>0.98934158526248561</v>
      </c>
      <c r="G16" s="25">
        <f t="shared" si="8"/>
        <v>1.0092609269157342</v>
      </c>
      <c r="H16" s="25">
        <f t="shared" si="9"/>
        <v>1.0323942370406787</v>
      </c>
      <c r="I16" s="25">
        <f t="shared" si="10"/>
        <v>0.96310984994090554</v>
      </c>
      <c r="J16" s="25">
        <f t="shared" si="11"/>
        <v>0.95154017287834858</v>
      </c>
      <c r="K16" s="25">
        <f t="shared" si="12"/>
        <v>0.97755222443944123</v>
      </c>
      <c r="L16" s="25">
        <f t="shared" si="13"/>
        <v>0.97742922464712501</v>
      </c>
      <c r="M16" s="2">
        <v>96.8</v>
      </c>
      <c r="N16" s="27">
        <v>0.94901960784313721</v>
      </c>
      <c r="O16" s="26">
        <v>0.92857142857142871</v>
      </c>
      <c r="P16">
        <v>0.97624703087885989</v>
      </c>
      <c r="Q16" s="2">
        <v>143</v>
      </c>
      <c r="R16" s="2">
        <f t="shared" si="15"/>
        <v>0.97477845944103625</v>
      </c>
      <c r="S16" s="2">
        <v>148.6</v>
      </c>
      <c r="T16" s="2">
        <f t="shared" si="16"/>
        <v>0.99531145344943062</v>
      </c>
      <c r="U16" s="2">
        <v>959.26321512501204</v>
      </c>
      <c r="V16" s="2">
        <f t="shared" si="17"/>
        <v>1.0587918514481931</v>
      </c>
      <c r="W16">
        <v>0.99050632911392411</v>
      </c>
      <c r="X16" s="2">
        <v>94.4</v>
      </c>
      <c r="Y16" s="2">
        <f t="shared" si="18"/>
        <v>0.91119691119691126</v>
      </c>
      <c r="Z16" s="2"/>
      <c r="AA16" s="2"/>
      <c r="AB16" s="2">
        <v>94.4</v>
      </c>
      <c r="AC16" s="2">
        <f t="shared" si="14"/>
        <v>0.91119691119691126</v>
      </c>
      <c r="AD16">
        <v>1.0011235955056179</v>
      </c>
      <c r="AE16" s="2">
        <v>71.599999999999994</v>
      </c>
      <c r="AF16" s="27">
        <f t="shared" si="19"/>
        <v>0.82966396292004629</v>
      </c>
      <c r="AG16" s="46">
        <v>0.94146341463414629</v>
      </c>
      <c r="AH16" s="46">
        <v>1.0623742454728369</v>
      </c>
      <c r="AI16" s="46">
        <v>1.0231621349446123</v>
      </c>
      <c r="AJ16" s="46">
        <v>0.92359767891682776</v>
      </c>
      <c r="AK16" s="46">
        <v>0.91949563530552869</v>
      </c>
      <c r="AM16" s="48">
        <v>0.92330097087378638</v>
      </c>
      <c r="AN16" s="48">
        <v>1.0091012514220705</v>
      </c>
      <c r="AO16" s="2">
        <v>245.2</v>
      </c>
      <c r="AP16">
        <f t="shared" si="20"/>
        <v>1.0086384204031262</v>
      </c>
      <c r="AQ16" s="27">
        <f t="shared" si="21"/>
        <v>1.1687583086942366E-2</v>
      </c>
      <c r="AR16" s="52">
        <v>190.2</v>
      </c>
      <c r="AS16" s="52">
        <v>0.92330097099999997</v>
      </c>
    </row>
    <row r="17" spans="1:45" ht="14.4" x14ac:dyDescent="0.3">
      <c r="A17" s="5">
        <v>42430</v>
      </c>
      <c r="B17">
        <v>1.0053248136315229</v>
      </c>
      <c r="C17">
        <v>0.99329608938547498</v>
      </c>
      <c r="D17">
        <v>1.009574468085106</v>
      </c>
      <c r="E17">
        <v>0.99887640449438209</v>
      </c>
      <c r="F17" s="25">
        <f t="shared" si="7"/>
        <v>0.99596406141247673</v>
      </c>
      <c r="G17" s="25">
        <f t="shared" si="8"/>
        <v>1.016847855750951</v>
      </c>
      <c r="H17" s="25">
        <f t="shared" si="9"/>
        <v>1.0396381393182066</v>
      </c>
      <c r="I17" s="25">
        <f t="shared" si="10"/>
        <v>0.96865701503365909</v>
      </c>
      <c r="J17" s="25">
        <f t="shared" si="11"/>
        <v>0.95484174534102662</v>
      </c>
      <c r="K17" s="25">
        <f t="shared" si="12"/>
        <v>0.98683435133680786</v>
      </c>
      <c r="L17" s="25">
        <f t="shared" si="13"/>
        <v>0.98775364519551356</v>
      </c>
      <c r="M17" s="2">
        <v>94.5</v>
      </c>
      <c r="N17" s="27">
        <v>0.92647058823529416</v>
      </c>
      <c r="O17" s="26">
        <v>0.92633928571428581</v>
      </c>
      <c r="P17">
        <v>0.97387173396674576</v>
      </c>
      <c r="Q17" s="2">
        <v>140.9</v>
      </c>
      <c r="R17" s="2">
        <f t="shared" si="15"/>
        <v>0.96046353101567838</v>
      </c>
      <c r="S17" s="2">
        <v>148.6</v>
      </c>
      <c r="T17" s="2">
        <f t="shared" si="16"/>
        <v>0.99531145344943062</v>
      </c>
      <c r="U17" s="2">
        <v>985.50274285714295</v>
      </c>
      <c r="V17" s="2">
        <f t="shared" si="17"/>
        <v>1.0877538690785769</v>
      </c>
      <c r="W17">
        <v>0.99156118143459915</v>
      </c>
      <c r="X17" s="2">
        <v>94.1</v>
      </c>
      <c r="Y17" s="2">
        <f t="shared" si="18"/>
        <v>0.90830115830115832</v>
      </c>
      <c r="Z17" s="2"/>
      <c r="AA17" s="2"/>
      <c r="AB17" s="2">
        <v>94.1</v>
      </c>
      <c r="AC17" s="2">
        <f t="shared" si="14"/>
        <v>0.90830115830115832</v>
      </c>
      <c r="AD17">
        <v>0.99887640449438209</v>
      </c>
      <c r="AE17" s="2">
        <v>72.099999999999994</v>
      </c>
      <c r="AF17" s="27">
        <f t="shared" si="19"/>
        <v>0.83545770567786781</v>
      </c>
      <c r="AG17" s="46">
        <v>0.94243902439024385</v>
      </c>
      <c r="AH17" s="46">
        <v>1.0694164989939636</v>
      </c>
      <c r="AI17" s="46">
        <v>1.0191339375629407</v>
      </c>
      <c r="AJ17" s="46">
        <v>0.92069632495164411</v>
      </c>
      <c r="AK17" s="46">
        <v>0.92143549951503401</v>
      </c>
      <c r="AM17" s="48">
        <v>0.92572815533980579</v>
      </c>
      <c r="AN17" s="48">
        <v>1.0381114903299202</v>
      </c>
      <c r="AO17" s="2">
        <v>264.89999999999998</v>
      </c>
      <c r="AP17">
        <f t="shared" si="20"/>
        <v>1.0803425774877651</v>
      </c>
      <c r="AQ17" s="27">
        <f t="shared" si="21"/>
        <v>1.2518453968572018E-2</v>
      </c>
      <c r="AR17" s="52">
        <v>190.7</v>
      </c>
      <c r="AS17" s="52">
        <v>0.92572815500000005</v>
      </c>
    </row>
    <row r="18" spans="1:45" ht="14.4" x14ac:dyDescent="0.3">
      <c r="A18" s="5">
        <v>42461</v>
      </c>
      <c r="B18">
        <v>1.0053248136315229</v>
      </c>
      <c r="C18">
        <v>0.99217877094972062</v>
      </c>
      <c r="D18">
        <v>1.0106382978723401</v>
      </c>
      <c r="E18">
        <v>0.99887640449438209</v>
      </c>
      <c r="F18" s="25">
        <f t="shared" si="7"/>
        <v>1.0025865375624678</v>
      </c>
      <c r="G18" s="25">
        <f t="shared" si="8"/>
        <v>1.0244347845861679</v>
      </c>
      <c r="H18" s="25">
        <f t="shared" si="9"/>
        <v>1.0468820415957343</v>
      </c>
      <c r="I18" s="25">
        <f t="shared" si="10"/>
        <v>0.97420418012641274</v>
      </c>
      <c r="J18" s="25">
        <f t="shared" si="11"/>
        <v>0.95814331780370476</v>
      </c>
      <c r="K18" s="25">
        <f t="shared" si="12"/>
        <v>0.9961164782341746</v>
      </c>
      <c r="L18" s="25">
        <f t="shared" si="13"/>
        <v>0.99807806574390201</v>
      </c>
      <c r="M18" s="2">
        <v>92.8</v>
      </c>
      <c r="N18" s="27">
        <v>0.90980392156862744</v>
      </c>
      <c r="O18" s="26">
        <v>0.91964285714285732</v>
      </c>
      <c r="P18">
        <v>0.97862232779097391</v>
      </c>
      <c r="Q18" s="2">
        <v>140.9</v>
      </c>
      <c r="R18" s="2">
        <f t="shared" si="15"/>
        <v>0.96046353101567838</v>
      </c>
      <c r="S18" s="2">
        <v>148.6</v>
      </c>
      <c r="T18" s="2">
        <f t="shared" si="16"/>
        <v>0.99531145344943062</v>
      </c>
      <c r="U18" s="2">
        <v>1022.999</v>
      </c>
      <c r="V18" s="2">
        <f t="shared" si="17"/>
        <v>1.1291405613823042</v>
      </c>
      <c r="W18">
        <v>0.98523206751054859</v>
      </c>
      <c r="X18" s="2">
        <v>94.5</v>
      </c>
      <c r="Y18" s="2">
        <f t="shared" si="18"/>
        <v>0.91216216216216217</v>
      </c>
      <c r="Z18" s="2"/>
      <c r="AA18" s="2"/>
      <c r="AB18" s="2">
        <v>94.5</v>
      </c>
      <c r="AC18" s="2">
        <f t="shared" si="14"/>
        <v>0.91216216216216217</v>
      </c>
      <c r="AD18">
        <v>0.99887640449438209</v>
      </c>
      <c r="AE18" s="2">
        <v>71.400000000000006</v>
      </c>
      <c r="AF18" s="27">
        <f t="shared" si="19"/>
        <v>0.82734646581691784</v>
      </c>
      <c r="AG18" s="46">
        <v>0.94146341463414629</v>
      </c>
      <c r="AH18" s="46">
        <v>1.0261569416498992</v>
      </c>
      <c r="AI18" s="46">
        <v>1.0332326283987916</v>
      </c>
      <c r="AJ18" s="46">
        <v>0.92166344294003866</v>
      </c>
      <c r="AK18" s="46">
        <v>0.9204655674102814</v>
      </c>
      <c r="AM18" s="48">
        <v>0.93106796116504864</v>
      </c>
      <c r="AN18" s="48">
        <v>1.0551763367463025</v>
      </c>
      <c r="AO18" s="2">
        <v>312.5</v>
      </c>
      <c r="AP18">
        <f t="shared" si="20"/>
        <v>1.1796904492261231</v>
      </c>
      <c r="AQ18" s="27">
        <f t="shared" si="21"/>
        <v>1.366964599335021E-2</v>
      </c>
      <c r="AR18" s="52">
        <v>191.8</v>
      </c>
      <c r="AS18" s="52">
        <v>0.931067961</v>
      </c>
    </row>
    <row r="19" spans="1:45" ht="14.4" x14ac:dyDescent="0.3">
      <c r="A19" s="5">
        <v>42491</v>
      </c>
      <c r="B19">
        <v>1.0053248136315229</v>
      </c>
      <c r="C19">
        <v>0.994413407821229</v>
      </c>
      <c r="D19">
        <v>1.0106382978723401</v>
      </c>
      <c r="E19">
        <v>1.0011235955056179</v>
      </c>
      <c r="F19" s="25">
        <f t="shared" si="7"/>
        <v>1.0092090137124587</v>
      </c>
      <c r="G19" s="25">
        <f t="shared" si="8"/>
        <v>1.0320217134213845</v>
      </c>
      <c r="H19" s="25">
        <f t="shared" si="9"/>
        <v>1.054125943873262</v>
      </c>
      <c r="I19" s="25">
        <f t="shared" si="10"/>
        <v>0.9797513452191664</v>
      </c>
      <c r="J19" s="25">
        <f t="shared" si="11"/>
        <v>0.96144489026638291</v>
      </c>
      <c r="K19" s="25">
        <f t="shared" si="12"/>
        <v>1.0053986051315413</v>
      </c>
      <c r="L19" s="25">
        <f t="shared" si="13"/>
        <v>1.0084024862922905</v>
      </c>
      <c r="M19" s="2">
        <v>92.5</v>
      </c>
      <c r="N19" s="27">
        <v>0.90686274509803921</v>
      </c>
      <c r="O19" s="26">
        <v>0.9185267857142857</v>
      </c>
      <c r="P19">
        <v>0.98337292161520184</v>
      </c>
      <c r="Q19" s="2">
        <v>140.9</v>
      </c>
      <c r="R19" s="2">
        <f t="shared" si="15"/>
        <v>0.96046353101567838</v>
      </c>
      <c r="S19" s="2">
        <v>148.6</v>
      </c>
      <c r="T19" s="2">
        <f t="shared" si="16"/>
        <v>0.99531145344943062</v>
      </c>
      <c r="U19" s="2">
        <v>989.574153504538</v>
      </c>
      <c r="V19" s="2">
        <f t="shared" si="17"/>
        <v>1.0922477101322021</v>
      </c>
      <c r="W19">
        <v>0.98417721518987344</v>
      </c>
      <c r="X19" s="2">
        <v>95</v>
      </c>
      <c r="Y19" s="2">
        <f t="shared" si="18"/>
        <v>0.91698841698841704</v>
      </c>
      <c r="Z19" s="2"/>
      <c r="AA19" s="2"/>
      <c r="AB19" s="2">
        <v>95</v>
      </c>
      <c r="AC19" s="2">
        <f t="shared" si="14"/>
        <v>0.91698841698841704</v>
      </c>
      <c r="AD19">
        <v>1.0011235955056179</v>
      </c>
      <c r="AE19" s="2">
        <v>71.5</v>
      </c>
      <c r="AF19" s="27">
        <f t="shared" si="19"/>
        <v>0.82850521436848201</v>
      </c>
      <c r="AG19" s="46">
        <v>0.93170731707317078</v>
      </c>
      <c r="AH19" s="46">
        <v>1.0352112676056338</v>
      </c>
      <c r="AI19" s="46">
        <v>0.99697885196374625</v>
      </c>
      <c r="AJ19" s="46">
        <v>0.9187620889748549</v>
      </c>
      <c r="AK19" s="46">
        <v>0.91173617846750732</v>
      </c>
      <c r="AM19" s="48">
        <v>0.92718446601941751</v>
      </c>
      <c r="AN19" s="48">
        <v>1.0813424345847553</v>
      </c>
      <c r="AO19" s="2">
        <v>344.1</v>
      </c>
      <c r="AP19">
        <f t="shared" si="20"/>
        <v>1.1011200000000001</v>
      </c>
      <c r="AQ19" s="27">
        <f t="shared" si="21"/>
        <v>1.2759212050984937E-2</v>
      </c>
      <c r="AR19" s="52">
        <v>191</v>
      </c>
      <c r="AS19" s="52">
        <v>0.92718446600000004</v>
      </c>
    </row>
    <row r="20" spans="1:45" ht="14.4" x14ac:dyDescent="0.3">
      <c r="A20" s="5">
        <v>42522</v>
      </c>
      <c r="B20">
        <v>1.0042598509052181</v>
      </c>
      <c r="C20">
        <v>0.99553072625698313</v>
      </c>
      <c r="D20">
        <v>1.0117021276595739</v>
      </c>
      <c r="E20">
        <v>1.0011235955056179</v>
      </c>
      <c r="F20" s="25">
        <f t="shared" si="7"/>
        <v>1.0158314898624499</v>
      </c>
      <c r="G20" s="25">
        <f t="shared" si="8"/>
        <v>1.0396086422566011</v>
      </c>
      <c r="H20" s="25">
        <f t="shared" si="9"/>
        <v>1.0613698461507899</v>
      </c>
      <c r="I20" s="25">
        <f t="shared" si="10"/>
        <v>0.98529851031192006</v>
      </c>
      <c r="J20" s="25">
        <f t="shared" si="11"/>
        <v>0.96474646272906095</v>
      </c>
      <c r="K20" s="25">
        <f t="shared" si="12"/>
        <v>1.014680732028908</v>
      </c>
      <c r="L20" s="25">
        <f t="shared" si="13"/>
        <v>1.018726906840679</v>
      </c>
      <c r="M20" s="2">
        <v>88.9</v>
      </c>
      <c r="N20" s="27">
        <v>0.8715686274509804</v>
      </c>
      <c r="O20" s="26">
        <v>0.9207589285714286</v>
      </c>
      <c r="P20">
        <v>0.98693586698337277</v>
      </c>
      <c r="Q20" s="2">
        <v>140.9</v>
      </c>
      <c r="R20" s="2">
        <f t="shared" si="15"/>
        <v>0.96046353101567838</v>
      </c>
      <c r="S20" s="2">
        <v>148.6</v>
      </c>
      <c r="T20" s="2">
        <f t="shared" si="16"/>
        <v>0.99531145344943062</v>
      </c>
      <c r="U20" s="2">
        <v>1015.29507231268</v>
      </c>
      <c r="V20" s="2">
        <f t="shared" si="17"/>
        <v>1.1206373104175338</v>
      </c>
      <c r="W20">
        <v>0.97995780590717307</v>
      </c>
      <c r="X20" s="2">
        <v>95.5</v>
      </c>
      <c r="Y20" s="2">
        <f t="shared" si="18"/>
        <v>0.92181467181467192</v>
      </c>
      <c r="Z20" s="2"/>
      <c r="AA20" s="2"/>
      <c r="AB20" s="2">
        <v>95.5</v>
      </c>
      <c r="AC20" s="2">
        <f t="shared" si="14"/>
        <v>0.92181467181467192</v>
      </c>
      <c r="AD20">
        <v>1.0011235955056179</v>
      </c>
      <c r="AE20" s="2">
        <v>73.3</v>
      </c>
      <c r="AF20" s="27">
        <f t="shared" si="19"/>
        <v>0.84936268829663963</v>
      </c>
      <c r="AG20" s="46">
        <v>0.92292682926829261</v>
      </c>
      <c r="AH20" s="46">
        <v>1.0412474849094566</v>
      </c>
      <c r="AI20" s="46">
        <v>0.96978851963746227</v>
      </c>
      <c r="AJ20" s="46">
        <v>0.91682785299806568</v>
      </c>
      <c r="AK20" s="46">
        <v>0.91658583899127066</v>
      </c>
      <c r="AM20" s="48">
        <v>0.94174757281553401</v>
      </c>
      <c r="AN20" s="48">
        <v>1.0853242320819112</v>
      </c>
      <c r="AO20" s="2">
        <v>329.6</v>
      </c>
      <c r="AP20">
        <f t="shared" si="20"/>
        <v>0.95786108689334493</v>
      </c>
      <c r="AQ20" s="27">
        <f t="shared" si="21"/>
        <v>1.1099201470374796E-2</v>
      </c>
      <c r="AR20" s="52">
        <v>194</v>
      </c>
      <c r="AS20" s="52">
        <v>0.941747573</v>
      </c>
    </row>
    <row r="21" spans="1:45" ht="14.4" x14ac:dyDescent="0.3">
      <c r="A21" s="5">
        <v>42552</v>
      </c>
      <c r="B21">
        <v>1.0063897763578269</v>
      </c>
      <c r="C21">
        <v>0.99776536312849162</v>
      </c>
      <c r="D21">
        <v>1.0127659574468091</v>
      </c>
      <c r="E21">
        <v>1.002247191011236</v>
      </c>
      <c r="F21" s="25">
        <f t="shared" si="7"/>
        <v>1.022453966012441</v>
      </c>
      <c r="G21" s="25">
        <f t="shared" si="8"/>
        <v>1.0471955710918179</v>
      </c>
      <c r="H21" s="25">
        <f t="shared" si="9"/>
        <v>1.0686137484283176</v>
      </c>
      <c r="I21" s="25">
        <f t="shared" si="10"/>
        <v>0.99084567540467372</v>
      </c>
      <c r="J21" s="25">
        <f t="shared" si="11"/>
        <v>0.9680480351917391</v>
      </c>
      <c r="K21" s="25">
        <f t="shared" si="12"/>
        <v>1.0239628589262748</v>
      </c>
      <c r="L21" s="25">
        <f t="shared" si="13"/>
        <v>1.0290513273890673</v>
      </c>
      <c r="M21" s="2">
        <v>89</v>
      </c>
      <c r="N21" s="27">
        <v>0.87254901960784315</v>
      </c>
      <c r="O21" s="26">
        <v>0.92522321428571441</v>
      </c>
      <c r="P21">
        <v>0.98574821852731587</v>
      </c>
      <c r="Q21" s="2">
        <v>140.9</v>
      </c>
      <c r="R21" s="2">
        <f t="shared" si="15"/>
        <v>0.96046353101567838</v>
      </c>
      <c r="S21" s="2">
        <v>147.69999999999999</v>
      </c>
      <c r="T21" s="2">
        <f t="shared" si="16"/>
        <v>0.98928332217012716</v>
      </c>
      <c r="U21" s="2">
        <v>1091.6292249999999</v>
      </c>
      <c r="V21" s="2">
        <f t="shared" si="17"/>
        <v>1.2048915355125758</v>
      </c>
      <c r="W21">
        <v>0.97890295358649793</v>
      </c>
      <c r="X21" s="2">
        <v>95.5</v>
      </c>
      <c r="Y21" s="2">
        <f t="shared" si="18"/>
        <v>0.92181467181467192</v>
      </c>
      <c r="Z21" s="2"/>
      <c r="AA21" s="2"/>
      <c r="AB21" s="2">
        <v>95.5</v>
      </c>
      <c r="AC21" s="2">
        <f t="shared" si="14"/>
        <v>0.92181467181467192</v>
      </c>
      <c r="AD21">
        <v>1.002247191011236</v>
      </c>
      <c r="AE21" s="2">
        <v>73.099999999999994</v>
      </c>
      <c r="AF21" s="27">
        <f t="shared" si="19"/>
        <v>0.84704519119351096</v>
      </c>
      <c r="AG21" s="46">
        <v>0.92195121951219516</v>
      </c>
      <c r="AH21" s="46">
        <v>1.0311871227364184</v>
      </c>
      <c r="AI21" s="46">
        <v>0.96475327291037261</v>
      </c>
      <c r="AJ21" s="46">
        <v>0.92166344294003866</v>
      </c>
      <c r="AK21" s="46">
        <v>0.91173617846750732</v>
      </c>
      <c r="AM21" s="48">
        <v>0.9553398058252428</v>
      </c>
      <c r="AN21" s="48">
        <v>1.0784982935153582</v>
      </c>
      <c r="AO21" s="2">
        <v>318.39999999999998</v>
      </c>
      <c r="AP21">
        <f t="shared" si="20"/>
        <v>0.96601941747572806</v>
      </c>
      <c r="AQ21" s="27">
        <f t="shared" si="21"/>
        <v>1.1193736007829989E-2</v>
      </c>
      <c r="AR21" s="52">
        <v>196.8</v>
      </c>
      <c r="AS21" s="52">
        <v>0.95533980600000001</v>
      </c>
    </row>
    <row r="22" spans="1:45" ht="14.4" x14ac:dyDescent="0.3">
      <c r="A22" s="5">
        <v>42583</v>
      </c>
      <c r="B22">
        <v>1.0063897763578269</v>
      </c>
      <c r="C22">
        <v>0.99776536312849162</v>
      </c>
      <c r="D22">
        <v>1.0127659574468091</v>
      </c>
      <c r="E22">
        <v>0.99887640449438209</v>
      </c>
      <c r="F22" s="25">
        <f t="shared" si="7"/>
        <v>1.0290764421624319</v>
      </c>
      <c r="G22" s="25">
        <f t="shared" si="8"/>
        <v>1.0547824999270348</v>
      </c>
      <c r="H22" s="25">
        <f t="shared" si="9"/>
        <v>1.0758576507058453</v>
      </c>
      <c r="I22" s="25">
        <f t="shared" si="10"/>
        <v>0.99639284049742727</v>
      </c>
      <c r="J22" s="25">
        <f t="shared" si="11"/>
        <v>0.97134960765441725</v>
      </c>
      <c r="K22" s="25">
        <f t="shared" si="12"/>
        <v>1.0332449858236414</v>
      </c>
      <c r="L22" s="25">
        <f t="shared" si="13"/>
        <v>1.0393757479374559</v>
      </c>
      <c r="M22" s="2">
        <v>88.8</v>
      </c>
      <c r="N22" s="27">
        <v>0.87058823529411766</v>
      </c>
      <c r="O22" s="26">
        <v>0.9241071428571429</v>
      </c>
      <c r="P22">
        <v>0.98337292161520184</v>
      </c>
      <c r="Q22" s="2">
        <v>140.9</v>
      </c>
      <c r="R22" s="2">
        <f t="shared" si="15"/>
        <v>0.96046353101567838</v>
      </c>
      <c r="S22" s="2">
        <v>148.4</v>
      </c>
      <c r="T22" s="2">
        <f t="shared" si="16"/>
        <v>0.99397186872069654</v>
      </c>
      <c r="U22" s="2">
        <v>1095.9336142857101</v>
      </c>
      <c r="V22" s="2">
        <f t="shared" si="17"/>
        <v>1.2096425279714882</v>
      </c>
      <c r="W22">
        <v>0.97995780590717307</v>
      </c>
      <c r="X22" s="2">
        <v>95.5</v>
      </c>
      <c r="Y22" s="2">
        <f t="shared" si="18"/>
        <v>0.92181467181467192</v>
      </c>
      <c r="Z22" s="2"/>
      <c r="AA22" s="2"/>
      <c r="AB22" s="2">
        <v>95.5</v>
      </c>
      <c r="AC22" s="2">
        <f t="shared" si="14"/>
        <v>0.92181467181467192</v>
      </c>
      <c r="AD22">
        <v>0.99887640449438209</v>
      </c>
      <c r="AE22" s="2">
        <v>71.599999999999994</v>
      </c>
      <c r="AF22" s="27">
        <f t="shared" si="19"/>
        <v>0.82966396292004629</v>
      </c>
      <c r="AG22" s="46">
        <v>0.92292682926829261</v>
      </c>
      <c r="AH22" s="46">
        <v>1.0321931589537223</v>
      </c>
      <c r="AI22" s="46">
        <v>1.0171198388721048</v>
      </c>
      <c r="AJ22" s="46">
        <v>0.91392649903288192</v>
      </c>
      <c r="AK22" s="46">
        <v>0.90688651794374397</v>
      </c>
      <c r="AM22" s="48">
        <v>0.96213592233009704</v>
      </c>
      <c r="AN22" s="48">
        <v>1.1126279863481228</v>
      </c>
      <c r="AO22" s="2">
        <v>314.8</v>
      </c>
      <c r="AP22">
        <f t="shared" si="20"/>
        <v>0.98869346733668351</v>
      </c>
      <c r="AQ22" s="27">
        <f t="shared" si="21"/>
        <v>1.145647123217478E-2</v>
      </c>
      <c r="AR22" s="52">
        <v>198.2</v>
      </c>
      <c r="AS22" s="52">
        <v>0.96213592199999998</v>
      </c>
    </row>
    <row r="23" spans="1:45" ht="14.4" x14ac:dyDescent="0.3">
      <c r="A23" s="5">
        <v>42614</v>
      </c>
      <c r="B23">
        <v>1.0063897763578269</v>
      </c>
      <c r="C23">
        <v>0.99888268156424587</v>
      </c>
      <c r="D23">
        <v>1.013829787234042</v>
      </c>
      <c r="E23">
        <v>0.99887640449438209</v>
      </c>
      <c r="F23" s="25">
        <f t="shared" si="7"/>
        <v>1.035698918312423</v>
      </c>
      <c r="G23" s="25">
        <f t="shared" si="8"/>
        <v>1.0623694287622514</v>
      </c>
      <c r="H23" s="25">
        <f t="shared" si="9"/>
        <v>1.0831015529833732</v>
      </c>
      <c r="I23" s="25">
        <f t="shared" si="10"/>
        <v>1.001940005590181</v>
      </c>
      <c r="J23" s="25">
        <f t="shared" si="11"/>
        <v>0.97465118011709528</v>
      </c>
      <c r="K23" s="25">
        <f t="shared" si="12"/>
        <v>1.0425271127210083</v>
      </c>
      <c r="L23" s="25">
        <f t="shared" si="13"/>
        <v>1.0497001684858445</v>
      </c>
      <c r="M23" s="2">
        <v>88.6</v>
      </c>
      <c r="N23" s="27">
        <v>0.86862745098039207</v>
      </c>
      <c r="O23" s="26">
        <v>0.9241071428571429</v>
      </c>
      <c r="P23">
        <v>0.98337292161520184</v>
      </c>
      <c r="Q23" s="2">
        <v>140.30000000000001</v>
      </c>
      <c r="R23" s="2">
        <f t="shared" si="15"/>
        <v>0.95637355146557612</v>
      </c>
      <c r="S23" s="2">
        <v>148.4</v>
      </c>
      <c r="T23" s="2">
        <f t="shared" si="16"/>
        <v>0.99397186872069654</v>
      </c>
      <c r="U23" s="2">
        <v>1061.79817</v>
      </c>
      <c r="V23" s="2">
        <f t="shared" si="17"/>
        <v>1.1719653506489287</v>
      </c>
      <c r="W23">
        <v>0.98101265822784811</v>
      </c>
      <c r="X23" s="2">
        <v>96.7</v>
      </c>
      <c r="Y23" s="2">
        <f t="shared" si="18"/>
        <v>0.93339768339768348</v>
      </c>
      <c r="Z23" s="2"/>
      <c r="AA23" s="2"/>
      <c r="AB23" s="2">
        <v>96.7</v>
      </c>
      <c r="AC23" s="2">
        <f t="shared" si="14"/>
        <v>0.93339768339768348</v>
      </c>
      <c r="AD23">
        <v>0.99887640449438209</v>
      </c>
      <c r="AE23" s="2">
        <v>70.400000000000006</v>
      </c>
      <c r="AF23" s="27">
        <f t="shared" si="19"/>
        <v>0.81575898030127469</v>
      </c>
      <c r="AG23" s="46">
        <v>0.91804878048780481</v>
      </c>
      <c r="AH23" s="46">
        <v>1.0452716297786719</v>
      </c>
      <c r="AI23" s="46">
        <v>1.0755287009063443</v>
      </c>
      <c r="AJ23" s="46">
        <v>0.91392649903288192</v>
      </c>
      <c r="AK23" s="46">
        <v>0.89621726479146469</v>
      </c>
      <c r="AM23" s="48">
        <v>0.94466019417475722</v>
      </c>
      <c r="AN23" s="48">
        <v>1.10580204778157</v>
      </c>
      <c r="AO23" s="2">
        <v>297</v>
      </c>
      <c r="AP23">
        <f t="shared" si="20"/>
        <v>0.94345616264294785</v>
      </c>
      <c r="AQ23" s="27">
        <f t="shared" si="21"/>
        <v>1.0932284619269384E-2</v>
      </c>
      <c r="AR23" s="52">
        <v>194.6</v>
      </c>
      <c r="AS23" s="52">
        <v>0.94466019400000001</v>
      </c>
    </row>
    <row r="24" spans="1:45" ht="14.4" x14ac:dyDescent="0.3">
      <c r="A24" s="5">
        <v>42644</v>
      </c>
      <c r="B24">
        <v>1.0063897763578269</v>
      </c>
      <c r="C24">
        <v>0.99888268156424587</v>
      </c>
      <c r="D24">
        <v>1.013829787234042</v>
      </c>
      <c r="E24">
        <v>0.99662921348314615</v>
      </c>
      <c r="F24" s="25">
        <f t="shared" si="7"/>
        <v>1.0423213944624141</v>
      </c>
      <c r="G24" s="25">
        <f t="shared" si="8"/>
        <v>1.069956357597468</v>
      </c>
      <c r="H24" s="25">
        <f t="shared" si="9"/>
        <v>1.0903454552609009</v>
      </c>
      <c r="I24" s="25">
        <f t="shared" si="10"/>
        <v>1.0074871706829345</v>
      </c>
      <c r="J24" s="25">
        <f t="shared" si="11"/>
        <v>0.97795275257977343</v>
      </c>
      <c r="K24" s="25">
        <f t="shared" si="12"/>
        <v>1.0518092396183749</v>
      </c>
      <c r="L24" s="25">
        <f t="shared" si="13"/>
        <v>1.0600245890342328</v>
      </c>
      <c r="M24" s="2">
        <v>89.8</v>
      </c>
      <c r="N24" s="27">
        <v>0.88039215686274508</v>
      </c>
      <c r="O24" s="26">
        <v>0.92857142857142871</v>
      </c>
      <c r="P24">
        <v>0.98218527315914494</v>
      </c>
      <c r="Q24" s="2">
        <v>140.30000000000001</v>
      </c>
      <c r="R24" s="2">
        <f t="shared" si="15"/>
        <v>0.95637355146557612</v>
      </c>
      <c r="S24" s="2">
        <v>148.4</v>
      </c>
      <c r="T24" s="2">
        <f t="shared" si="16"/>
        <v>0.99397186872069654</v>
      </c>
      <c r="U24" s="2">
        <v>1022.6541282374</v>
      </c>
      <c r="V24" s="2">
        <f t="shared" si="17"/>
        <v>1.1287599073487939</v>
      </c>
      <c r="W24">
        <v>0.97995780590717307</v>
      </c>
      <c r="X24" s="2">
        <v>97.2</v>
      </c>
      <c r="Y24" s="2">
        <f t="shared" si="18"/>
        <v>0.93822393822393835</v>
      </c>
      <c r="Z24" s="2"/>
      <c r="AA24" s="2"/>
      <c r="AB24" s="2">
        <v>97.2</v>
      </c>
      <c r="AC24" s="2">
        <f t="shared" si="14"/>
        <v>0.93822393822393835</v>
      </c>
      <c r="AD24">
        <v>0.99662921348314615</v>
      </c>
      <c r="AE24" s="2">
        <v>69.099999999999994</v>
      </c>
      <c r="AF24" s="27">
        <f t="shared" si="19"/>
        <v>0.80069524913093859</v>
      </c>
      <c r="AG24" s="46">
        <v>0.92975609756097555</v>
      </c>
      <c r="AH24" s="46">
        <v>1.0080482897384306</v>
      </c>
      <c r="AI24" s="46">
        <v>1.0886203423967775</v>
      </c>
      <c r="AJ24" s="46">
        <v>0.92263056092843332</v>
      </c>
      <c r="AK24" s="46">
        <v>0.90203685741998063</v>
      </c>
      <c r="AM24" s="48">
        <v>0.92718446601941751</v>
      </c>
      <c r="AN24" s="48">
        <v>1.1131968145620021</v>
      </c>
      <c r="AO24" s="2">
        <v>278.5</v>
      </c>
      <c r="AP24">
        <f t="shared" si="20"/>
        <v>0.93771043771043772</v>
      </c>
      <c r="AQ24" s="27">
        <f t="shared" si="21"/>
        <v>1.0865706114837054E-2</v>
      </c>
      <c r="AR24" s="52">
        <v>191</v>
      </c>
      <c r="AS24" s="52">
        <v>0.92718446600000004</v>
      </c>
    </row>
    <row r="25" spans="1:45" ht="14.4" x14ac:dyDescent="0.3">
      <c r="A25" s="5">
        <v>42675</v>
      </c>
      <c r="B25">
        <v>1.007454739084132</v>
      </c>
      <c r="C25">
        <v>1.001117318435754</v>
      </c>
      <c r="D25">
        <v>1.013829787234042</v>
      </c>
      <c r="E25">
        <v>0.99775280898876406</v>
      </c>
      <c r="F25" s="25">
        <f t="shared" si="7"/>
        <v>1.0489438706124052</v>
      </c>
      <c r="G25" s="25">
        <f t="shared" si="8"/>
        <v>1.0775432864326848</v>
      </c>
      <c r="H25" s="25">
        <f t="shared" si="9"/>
        <v>1.0975893575384286</v>
      </c>
      <c r="I25" s="25">
        <f t="shared" si="10"/>
        <v>1.0130343357756881</v>
      </c>
      <c r="J25" s="25">
        <f t="shared" si="11"/>
        <v>0.98125432504245158</v>
      </c>
      <c r="K25" s="25">
        <f t="shared" si="12"/>
        <v>1.0610913665157415</v>
      </c>
      <c r="L25" s="25">
        <f t="shared" si="13"/>
        <v>1.0703490095826214</v>
      </c>
      <c r="M25" s="2">
        <v>89.4</v>
      </c>
      <c r="N25" s="27">
        <v>0.87647058823529422</v>
      </c>
      <c r="O25" s="26">
        <v>0.93526785714285721</v>
      </c>
      <c r="P25">
        <v>0.98574821852731587</v>
      </c>
      <c r="Q25" s="2">
        <v>140.30000000000001</v>
      </c>
      <c r="R25" s="2">
        <f t="shared" si="15"/>
        <v>0.95637355146557612</v>
      </c>
      <c r="S25" s="2">
        <v>148.1</v>
      </c>
      <c r="T25" s="2">
        <f t="shared" si="16"/>
        <v>0.99196249162759531</v>
      </c>
      <c r="U25" s="2">
        <v>1019.24007870458</v>
      </c>
      <c r="V25" s="2">
        <f t="shared" si="17"/>
        <v>1.1249916321050495</v>
      </c>
      <c r="W25">
        <v>0.97995780590717307</v>
      </c>
      <c r="X25" s="2">
        <v>98.5</v>
      </c>
      <c r="Y25" s="2">
        <f t="shared" si="18"/>
        <v>0.95077220077220082</v>
      </c>
      <c r="Z25" s="2"/>
      <c r="AA25" s="2"/>
      <c r="AB25" s="2">
        <v>98.5</v>
      </c>
      <c r="AC25" s="2">
        <f t="shared" si="14"/>
        <v>0.95077220077220082</v>
      </c>
      <c r="AD25">
        <v>0.99775280898876406</v>
      </c>
      <c r="AE25" s="2">
        <v>69</v>
      </c>
      <c r="AF25" s="27">
        <f t="shared" si="19"/>
        <v>0.79953650057937431</v>
      </c>
      <c r="AG25" s="46">
        <v>0.92682926829268297</v>
      </c>
      <c r="AH25" s="46">
        <v>1.0472837022132795</v>
      </c>
      <c r="AI25" s="46">
        <v>1.0664652567975832</v>
      </c>
      <c r="AJ25" s="46">
        <v>0.91972920696324945</v>
      </c>
      <c r="AK25" s="46">
        <v>0.9088263821532494</v>
      </c>
      <c r="AM25" s="48">
        <v>0.90970873786407769</v>
      </c>
      <c r="AN25" s="48">
        <v>1.1069397042093287</v>
      </c>
      <c r="AO25" s="2">
        <v>305.3</v>
      </c>
      <c r="AP25">
        <f t="shared" si="20"/>
        <v>1.0962298025134651</v>
      </c>
      <c r="AQ25" s="27">
        <f t="shared" si="21"/>
        <v>1.270254695844108E-2</v>
      </c>
      <c r="AR25" s="52">
        <v>187.4</v>
      </c>
      <c r="AS25" s="52">
        <v>0.90970873799999996</v>
      </c>
    </row>
    <row r="26" spans="1:45" ht="14.4" x14ac:dyDescent="0.3">
      <c r="A26" s="5">
        <v>42705</v>
      </c>
      <c r="B26">
        <v>1.008519701810437</v>
      </c>
      <c r="C26">
        <v>1.003351955307263</v>
      </c>
      <c r="D26">
        <v>1.009574468085106</v>
      </c>
      <c r="E26">
        <v>1</v>
      </c>
      <c r="F26" s="25">
        <f t="shared" si="7"/>
        <v>1.0555663467623961</v>
      </c>
      <c r="G26" s="25">
        <f t="shared" si="8"/>
        <v>1.0851302152679017</v>
      </c>
      <c r="H26" s="25">
        <f t="shared" si="9"/>
        <v>1.1048332598159565</v>
      </c>
      <c r="I26" s="25">
        <f t="shared" si="10"/>
        <v>1.0185815008684418</v>
      </c>
      <c r="J26" s="25">
        <f t="shared" si="11"/>
        <v>0.98455589750512962</v>
      </c>
      <c r="K26" s="25">
        <f t="shared" si="12"/>
        <v>1.0703734934131084</v>
      </c>
      <c r="L26" s="25">
        <f t="shared" si="13"/>
        <v>1.0806734301310097</v>
      </c>
      <c r="M26" s="2">
        <v>89.7</v>
      </c>
      <c r="N26" s="27">
        <v>0.87941176470588234</v>
      </c>
      <c r="O26" s="26">
        <v>0.9441964285714286</v>
      </c>
      <c r="P26">
        <v>0.98456057007125897</v>
      </c>
      <c r="Q26" s="2">
        <v>140.80000000000001</v>
      </c>
      <c r="R26" s="2">
        <f t="shared" si="15"/>
        <v>0.95978186775732799</v>
      </c>
      <c r="S26" s="2">
        <v>148.5</v>
      </c>
      <c r="T26" s="2">
        <f t="shared" si="16"/>
        <v>0.99464166108506358</v>
      </c>
      <c r="U26" s="2">
        <v>1007.3706269634999</v>
      </c>
      <c r="V26" s="2">
        <f t="shared" si="17"/>
        <v>1.1118906619161995</v>
      </c>
      <c r="W26">
        <v>0.98101265822784811</v>
      </c>
      <c r="X26" s="2">
        <v>98.2</v>
      </c>
      <c r="Y26" s="2">
        <f t="shared" si="18"/>
        <v>0.94787644787644798</v>
      </c>
      <c r="Z26" s="2"/>
      <c r="AA26" s="2"/>
      <c r="AB26" s="2">
        <v>98.2</v>
      </c>
      <c r="AC26" s="2">
        <f t="shared" si="14"/>
        <v>0.94787644787644798</v>
      </c>
      <c r="AD26">
        <v>1</v>
      </c>
      <c r="AE26" s="2">
        <v>68.900000000000006</v>
      </c>
      <c r="AF26" s="27">
        <f t="shared" si="19"/>
        <v>0.79837775202781003</v>
      </c>
      <c r="AG26" s="46">
        <v>0.92195121951219516</v>
      </c>
      <c r="AH26" s="46">
        <v>1.0895372233400402</v>
      </c>
      <c r="AI26" s="46">
        <v>1.0553877139979859</v>
      </c>
      <c r="AJ26" s="46">
        <v>0.92069632495164411</v>
      </c>
      <c r="AK26" s="46">
        <v>0.89330746847720655</v>
      </c>
      <c r="AM26" s="48">
        <v>0.91699029126213594</v>
      </c>
      <c r="AN26" s="48">
        <v>1.1126279863481228</v>
      </c>
      <c r="AO26" s="2">
        <v>349.7</v>
      </c>
      <c r="AP26">
        <f t="shared" si="20"/>
        <v>1.1454307238781525</v>
      </c>
      <c r="AQ26" s="27">
        <f t="shared" si="21"/>
        <v>1.327266192211069E-2</v>
      </c>
      <c r="AR26" s="52">
        <v>188.9</v>
      </c>
      <c r="AS26" s="52">
        <v>0.91699029099999996</v>
      </c>
    </row>
    <row r="27" spans="1:45" ht="14.4" x14ac:dyDescent="0.3">
      <c r="A27" s="5">
        <v>42736</v>
      </c>
      <c r="B27">
        <v>1.009584664536741</v>
      </c>
      <c r="C27">
        <v>1.007821229050279</v>
      </c>
      <c r="D27">
        <v>1.009574468085106</v>
      </c>
      <c r="E27">
        <v>0.99887640449438209</v>
      </c>
      <c r="F27" s="25">
        <f t="shared" si="7"/>
        <v>1.0621888229123873</v>
      </c>
      <c r="G27" s="25">
        <f t="shared" si="8"/>
        <v>1.0927171441031183</v>
      </c>
      <c r="H27" s="25">
        <f t="shared" si="9"/>
        <v>1.1120771620934842</v>
      </c>
      <c r="I27" s="25">
        <f t="shared" si="10"/>
        <v>1.0241286659611955</v>
      </c>
      <c r="J27" s="25">
        <f t="shared" si="11"/>
        <v>0.98785746996780777</v>
      </c>
      <c r="K27" s="25">
        <f t="shared" si="12"/>
        <v>1.079655620310475</v>
      </c>
      <c r="L27" s="25">
        <f t="shared" si="13"/>
        <v>1.0909978506793983</v>
      </c>
      <c r="M27" s="2">
        <v>91.2</v>
      </c>
      <c r="N27" s="27">
        <v>0.89411764705882357</v>
      </c>
      <c r="O27" s="26">
        <v>0.95647321428571441</v>
      </c>
      <c r="P27">
        <v>0.99287410926365782</v>
      </c>
      <c r="Q27" s="2">
        <v>140.80000000000001</v>
      </c>
      <c r="R27" s="2">
        <f t="shared" si="15"/>
        <v>0.95978186775732799</v>
      </c>
      <c r="S27" s="2">
        <v>148.6</v>
      </c>
      <c r="T27" s="2">
        <f t="shared" si="16"/>
        <v>0.99531145344943062</v>
      </c>
      <c r="U27" s="2">
        <v>1027.90333231676</v>
      </c>
      <c r="V27" s="2">
        <f t="shared" si="17"/>
        <v>1.13455374413747</v>
      </c>
      <c r="W27">
        <v>0.97995780590717307</v>
      </c>
      <c r="X27" s="2">
        <v>97.6</v>
      </c>
      <c r="Y27" s="2">
        <f t="shared" si="18"/>
        <v>0.94208494208494209</v>
      </c>
      <c r="Z27" s="2"/>
      <c r="AA27" s="2"/>
      <c r="AB27" s="2">
        <v>97.6</v>
      </c>
      <c r="AC27" s="2">
        <f t="shared" si="14"/>
        <v>0.94208494208494209</v>
      </c>
      <c r="AD27">
        <v>0.99887640449438209</v>
      </c>
      <c r="AE27" s="2">
        <v>68.400000000000006</v>
      </c>
      <c r="AF27" s="27">
        <f t="shared" si="19"/>
        <v>0.79258400926998851</v>
      </c>
      <c r="AG27" s="46">
        <v>0.92390243902439029</v>
      </c>
      <c r="AH27" s="46">
        <v>1.0704225352112675</v>
      </c>
      <c r="AI27" s="46">
        <v>1.0151057401812689</v>
      </c>
      <c r="AJ27" s="46">
        <v>0.92359767891682776</v>
      </c>
      <c r="AK27" s="46">
        <v>0.90591658583899137</v>
      </c>
      <c r="AM27" s="48">
        <v>0.92184466019417477</v>
      </c>
      <c r="AN27" s="48">
        <v>1.1336746302616609</v>
      </c>
      <c r="AO27" s="2">
        <v>384.9</v>
      </c>
      <c r="AP27">
        <f t="shared" si="20"/>
        <v>1.100657706605662</v>
      </c>
      <c r="AQ27" s="27">
        <f t="shared" si="21"/>
        <v>1.2753855232974067E-2</v>
      </c>
      <c r="AR27" s="55">
        <v>189.9</v>
      </c>
      <c r="AS27" s="55">
        <v>0.92184465999999998</v>
      </c>
    </row>
    <row r="28" spans="1:45" ht="14.4" x14ac:dyDescent="0.3">
      <c r="A28" s="5">
        <v>42767</v>
      </c>
      <c r="B28">
        <v>1.0106496272630461</v>
      </c>
      <c r="C28">
        <v>1.010055865921788</v>
      </c>
      <c r="D28">
        <v>1.0117021276595739</v>
      </c>
      <c r="E28">
        <v>1.002247191011236</v>
      </c>
      <c r="F28" s="25">
        <f t="shared" si="7"/>
        <v>1.0688112990623784</v>
      </c>
      <c r="G28" s="25">
        <f t="shared" si="8"/>
        <v>1.1003040729383349</v>
      </c>
      <c r="H28" s="25">
        <f t="shared" si="9"/>
        <v>1.1193210643710119</v>
      </c>
      <c r="I28" s="25">
        <f t="shared" si="10"/>
        <v>1.0296758310539491</v>
      </c>
      <c r="J28" s="25">
        <f t="shared" si="11"/>
        <v>0.99115904243048591</v>
      </c>
      <c r="K28" s="25">
        <f t="shared" si="12"/>
        <v>1.0889377472078416</v>
      </c>
      <c r="L28" s="25">
        <f t="shared" si="13"/>
        <v>1.1013222712277868</v>
      </c>
      <c r="M28" s="2">
        <v>90.3</v>
      </c>
      <c r="N28" s="27">
        <v>0.88529411764705879</v>
      </c>
      <c r="O28" s="26">
        <v>0.96428571428571441</v>
      </c>
      <c r="P28">
        <v>1.0059382422802849</v>
      </c>
      <c r="Q28" s="2">
        <v>140.80000000000001</v>
      </c>
      <c r="R28" s="2">
        <f t="shared" si="15"/>
        <v>0.95978186775732799</v>
      </c>
      <c r="S28" s="2">
        <v>148.19999999999999</v>
      </c>
      <c r="T28" s="2">
        <f t="shared" si="16"/>
        <v>0.99263228399196235</v>
      </c>
      <c r="U28" s="2">
        <v>1029.78071774559</v>
      </c>
      <c r="V28" s="2">
        <f t="shared" si="17"/>
        <v>1.1366259182422735</v>
      </c>
      <c r="W28">
        <v>0.98628691983122363</v>
      </c>
      <c r="X28" s="2">
        <v>97.9</v>
      </c>
      <c r="Y28" s="2">
        <f t="shared" si="18"/>
        <v>0.94498069498069504</v>
      </c>
      <c r="Z28" s="2"/>
      <c r="AA28" s="2"/>
      <c r="AB28" s="2">
        <v>97.9</v>
      </c>
      <c r="AC28" s="2">
        <f t="shared" si="14"/>
        <v>0.94498069498069504</v>
      </c>
      <c r="AD28">
        <v>1.002247191011236</v>
      </c>
      <c r="AE28" s="2">
        <v>69.2</v>
      </c>
      <c r="AF28" s="27">
        <f t="shared" si="19"/>
        <v>0.80185399768250298</v>
      </c>
      <c r="AG28" s="46">
        <v>0.92390243902439029</v>
      </c>
      <c r="AH28" s="46">
        <v>1.1086519114688129</v>
      </c>
      <c r="AI28" s="46">
        <v>1.0392749244712991</v>
      </c>
      <c r="AJ28" s="46">
        <v>0.92940038684719528</v>
      </c>
      <c r="AK28" s="46">
        <v>0.91464597478176535</v>
      </c>
      <c r="AM28" s="48">
        <v>0.93398058252427185</v>
      </c>
      <c r="AN28" s="48">
        <v>1.1427758816837315</v>
      </c>
      <c r="AO28" s="2">
        <v>379.9</v>
      </c>
      <c r="AP28">
        <f t="shared" si="20"/>
        <v>0.98700961288646405</v>
      </c>
      <c r="AQ28" s="27">
        <f t="shared" si="21"/>
        <v>1.1436959593122411E-2</v>
      </c>
      <c r="AR28" s="52">
        <v>192.4</v>
      </c>
      <c r="AS28" s="52">
        <v>0.93398058299999998</v>
      </c>
    </row>
    <row r="29" spans="1:45" ht="14.4" x14ac:dyDescent="0.3">
      <c r="A29" s="5">
        <v>42795</v>
      </c>
      <c r="B29">
        <v>1.0106496272630461</v>
      </c>
      <c r="C29">
        <v>1.012290502793296</v>
      </c>
      <c r="D29">
        <v>1.0117021276595739</v>
      </c>
      <c r="E29">
        <v>1.008988764044944</v>
      </c>
      <c r="F29" s="25">
        <f t="shared" si="7"/>
        <v>1.0754337752123693</v>
      </c>
      <c r="G29" s="25">
        <f t="shared" si="8"/>
        <v>1.1078910017735517</v>
      </c>
      <c r="H29" s="25">
        <f t="shared" si="9"/>
        <v>1.1265649666485396</v>
      </c>
      <c r="I29" s="25">
        <f t="shared" si="10"/>
        <v>1.0352229961467028</v>
      </c>
      <c r="J29" s="25">
        <f t="shared" si="11"/>
        <v>0.99446061489316395</v>
      </c>
      <c r="K29" s="25">
        <f t="shared" si="12"/>
        <v>1.0982198741052085</v>
      </c>
      <c r="L29" s="25">
        <f t="shared" si="13"/>
        <v>1.1116466917761751</v>
      </c>
      <c r="M29" s="2">
        <v>93.3</v>
      </c>
      <c r="N29" s="27">
        <v>0.91470588235294115</v>
      </c>
      <c r="O29" s="26">
        <v>0.98102678571428581</v>
      </c>
      <c r="P29">
        <v>1.021377672209026</v>
      </c>
      <c r="Q29" s="2">
        <v>140.80000000000001</v>
      </c>
      <c r="R29" s="2">
        <f t="shared" si="15"/>
        <v>0.95978186775732799</v>
      </c>
      <c r="S29" s="2">
        <v>148.30000000000001</v>
      </c>
      <c r="T29" s="2">
        <f t="shared" si="16"/>
        <v>0.9933020763563295</v>
      </c>
      <c r="U29" s="2">
        <v>1059.6526152474701</v>
      </c>
      <c r="V29" s="2">
        <f t="shared" si="17"/>
        <v>1.1695971832335663</v>
      </c>
      <c r="W29">
        <v>0.99050632911392411</v>
      </c>
      <c r="X29" s="2">
        <v>100.8</v>
      </c>
      <c r="Y29" s="2">
        <f t="shared" si="18"/>
        <v>0.97297297297297303</v>
      </c>
      <c r="Z29">
        <v>1366</v>
      </c>
      <c r="AA29" s="2">
        <f>Z29/Z$29</f>
        <v>1</v>
      </c>
      <c r="AB29" s="2">
        <v>100.8</v>
      </c>
      <c r="AC29" s="2">
        <f t="shared" si="14"/>
        <v>0.97297297297297303</v>
      </c>
      <c r="AD29">
        <v>1.008988764044944</v>
      </c>
      <c r="AE29" s="2">
        <v>70.599999999999994</v>
      </c>
      <c r="AF29" s="27">
        <f t="shared" si="19"/>
        <v>0.81807647740440326</v>
      </c>
      <c r="AG29" s="46">
        <v>0.92682926829268297</v>
      </c>
      <c r="AH29" s="46">
        <v>1.0975855130784706</v>
      </c>
      <c r="AI29" s="46">
        <v>1.0402819738167171</v>
      </c>
      <c r="AJ29" s="46">
        <v>0.93133462282398449</v>
      </c>
      <c r="AK29" s="46">
        <v>0.91658583899127066</v>
      </c>
      <c r="AM29" s="48">
        <v>0.96407766990291255</v>
      </c>
      <c r="AN29" s="48">
        <v>1.1683731513083049</v>
      </c>
      <c r="AO29" s="2">
        <v>408.3</v>
      </c>
      <c r="AP29">
        <f t="shared" si="20"/>
        <v>1.0747565148723348</v>
      </c>
      <c r="AQ29" s="27">
        <f t="shared" si="21"/>
        <v>1.2453725548926244E-2</v>
      </c>
      <c r="AR29" s="52">
        <v>198.6</v>
      </c>
      <c r="AS29" s="52">
        <v>0.96407767</v>
      </c>
    </row>
    <row r="30" spans="1:45" ht="14.4" x14ac:dyDescent="0.3">
      <c r="A30" s="5">
        <v>42826</v>
      </c>
      <c r="B30">
        <v>1.01171458998935</v>
      </c>
      <c r="C30">
        <v>1.014525139664805</v>
      </c>
      <c r="D30">
        <v>1.0117021276595739</v>
      </c>
      <c r="E30">
        <v>1.014606741573034</v>
      </c>
      <c r="F30" s="25">
        <f t="shared" si="7"/>
        <v>1.0820562513623604</v>
      </c>
      <c r="G30" s="25">
        <f t="shared" si="8"/>
        <v>1.1154779306087685</v>
      </c>
      <c r="H30" s="25">
        <f t="shared" si="9"/>
        <v>1.1338088689260675</v>
      </c>
      <c r="I30" s="25">
        <f t="shared" si="10"/>
        <v>1.0407701612394564</v>
      </c>
      <c r="J30" s="25">
        <f t="shared" si="11"/>
        <v>0.9977621873558421</v>
      </c>
      <c r="K30" s="25">
        <f t="shared" si="12"/>
        <v>1.1075020010025751</v>
      </c>
      <c r="L30" s="25">
        <f t="shared" si="13"/>
        <v>1.1219711123245637</v>
      </c>
      <c r="M30" s="2">
        <v>94.9</v>
      </c>
      <c r="N30" s="27">
        <v>0.93039215686274512</v>
      </c>
      <c r="O30" s="26">
        <v>0.99330357142857151</v>
      </c>
      <c r="P30">
        <v>1.0332541567695961</v>
      </c>
      <c r="Q30" s="2">
        <v>143.30000000000001</v>
      </c>
      <c r="R30" s="2">
        <f t="shared" si="15"/>
        <v>0.97682344921608744</v>
      </c>
      <c r="S30" s="2">
        <v>148.4</v>
      </c>
      <c r="T30" s="2">
        <f t="shared" si="16"/>
        <v>0.99397186872069654</v>
      </c>
      <c r="U30" s="2">
        <v>988.38642000000004</v>
      </c>
      <c r="V30" s="2">
        <f t="shared" si="17"/>
        <v>1.0909367429894321</v>
      </c>
      <c r="W30">
        <v>0.99472573839662448</v>
      </c>
      <c r="X30" s="2">
        <v>101.8</v>
      </c>
      <c r="Y30" s="2">
        <f t="shared" si="18"/>
        <v>0.98262548262548266</v>
      </c>
      <c r="Z30">
        <v>1355.5</v>
      </c>
      <c r="AA30" s="2">
        <f t="shared" ref="AA30:AA93" si="22">Z30/Z$29</f>
        <v>0.99231332357247437</v>
      </c>
      <c r="AB30" s="2">
        <v>101.8</v>
      </c>
      <c r="AC30" s="2">
        <f t="shared" si="14"/>
        <v>0.98262548262548266</v>
      </c>
      <c r="AD30">
        <v>1.014606741573034</v>
      </c>
      <c r="AE30" s="2">
        <v>71.7</v>
      </c>
      <c r="AF30" s="27">
        <f t="shared" si="19"/>
        <v>0.83082271147161069</v>
      </c>
      <c r="AG30" s="46">
        <v>0.92585365853658541</v>
      </c>
      <c r="AH30" s="46">
        <v>1.0915492957746478</v>
      </c>
      <c r="AI30" s="46">
        <v>1.0453172205438066</v>
      </c>
      <c r="AJ30" s="46">
        <v>0.93036750483558994</v>
      </c>
      <c r="AK30" s="46">
        <v>0.92337536372453932</v>
      </c>
      <c r="AM30" s="48">
        <v>0.97912621359223295</v>
      </c>
      <c r="AN30" s="48">
        <v>1.18259385665529</v>
      </c>
      <c r="AO30" s="2">
        <v>387</v>
      </c>
      <c r="AP30">
        <f t="shared" si="20"/>
        <v>0.94783247612049959</v>
      </c>
      <c r="AQ30" s="27">
        <f t="shared" si="21"/>
        <v>1.0982995088302428E-2</v>
      </c>
      <c r="AR30" s="52">
        <v>201.7</v>
      </c>
      <c r="AS30" s="52">
        <v>0.97912621399999999</v>
      </c>
    </row>
    <row r="31" spans="1:45" ht="14.4" x14ac:dyDescent="0.3">
      <c r="A31" s="5">
        <v>42856</v>
      </c>
      <c r="B31">
        <v>1.0127795527156549</v>
      </c>
      <c r="C31">
        <v>1.015642458100559</v>
      </c>
      <c r="D31">
        <v>1.0117021276595739</v>
      </c>
      <c r="E31">
        <v>1.014606741573034</v>
      </c>
      <c r="F31" s="25">
        <f t="shared" si="7"/>
        <v>1.0886787275123515</v>
      </c>
      <c r="G31" s="25">
        <f t="shared" si="8"/>
        <v>1.1230648594439852</v>
      </c>
      <c r="H31" s="25">
        <f t="shared" si="9"/>
        <v>1.1410527712035952</v>
      </c>
      <c r="I31" s="25">
        <f t="shared" si="10"/>
        <v>1.0463173263322101</v>
      </c>
      <c r="J31" s="25">
        <f t="shared" si="11"/>
        <v>1.0010637598185201</v>
      </c>
      <c r="K31" s="25">
        <f t="shared" si="12"/>
        <v>1.1167841278999417</v>
      </c>
      <c r="L31" s="25">
        <f t="shared" si="13"/>
        <v>1.132295532872952</v>
      </c>
      <c r="M31" s="2">
        <v>95.4</v>
      </c>
      <c r="N31" s="27">
        <v>0.93529411764705883</v>
      </c>
      <c r="O31" s="26">
        <v>0.99553571428571441</v>
      </c>
      <c r="P31">
        <v>1.0356294536817101</v>
      </c>
      <c r="Q31" s="2">
        <v>143.30000000000001</v>
      </c>
      <c r="R31" s="2">
        <f t="shared" si="15"/>
        <v>0.97682344921608744</v>
      </c>
      <c r="S31" s="2">
        <v>148.5</v>
      </c>
      <c r="T31" s="2">
        <f t="shared" si="16"/>
        <v>0.99464166108506358</v>
      </c>
      <c r="U31" s="2">
        <v>1022.24741281243</v>
      </c>
      <c r="V31" s="2">
        <f t="shared" si="17"/>
        <v>1.1283109930455799</v>
      </c>
      <c r="W31">
        <v>0.99894514767932496</v>
      </c>
      <c r="X31" s="2">
        <v>102.2</v>
      </c>
      <c r="Y31" s="2">
        <f t="shared" si="18"/>
        <v>0.98648648648648651</v>
      </c>
      <c r="Z31">
        <v>1323.2</v>
      </c>
      <c r="AA31" s="2">
        <f t="shared" si="22"/>
        <v>0.96866764275256223</v>
      </c>
      <c r="AB31" s="2">
        <v>102.2</v>
      </c>
      <c r="AC31" s="2">
        <f t="shared" si="14"/>
        <v>0.98648648648648651</v>
      </c>
      <c r="AD31">
        <v>1.014606741573034</v>
      </c>
      <c r="AE31" s="2">
        <v>73.099999999999994</v>
      </c>
      <c r="AF31" s="27">
        <f t="shared" si="19"/>
        <v>0.84704519119351096</v>
      </c>
      <c r="AG31" s="46">
        <v>0.92487804878048774</v>
      </c>
      <c r="AH31" s="46">
        <v>1.0824949698189135</v>
      </c>
      <c r="AI31" s="46">
        <v>1.0140986908358509</v>
      </c>
      <c r="AJ31" s="46">
        <v>0.93326885880077359</v>
      </c>
      <c r="AK31" s="46">
        <v>0.92143549951503401</v>
      </c>
      <c r="AM31" s="48">
        <v>0.98300970873786409</v>
      </c>
      <c r="AN31" s="48">
        <v>1.204778156996587</v>
      </c>
      <c r="AO31" s="2">
        <v>383.3</v>
      </c>
      <c r="AP31">
        <f t="shared" si="20"/>
        <v>0.99043927648578811</v>
      </c>
      <c r="AQ31" s="27">
        <f t="shared" si="21"/>
        <v>1.1476700770403107E-2</v>
      </c>
      <c r="AR31" s="52">
        <v>202.5</v>
      </c>
      <c r="AS31" s="52">
        <v>0.98300970899999995</v>
      </c>
    </row>
    <row r="32" spans="1:45" ht="14.4" x14ac:dyDescent="0.3">
      <c r="A32" s="5">
        <v>42887</v>
      </c>
      <c r="B32">
        <v>1.0127795527156549</v>
      </c>
      <c r="C32">
        <v>1.016759776536313</v>
      </c>
      <c r="D32">
        <v>1.013829787234042</v>
      </c>
      <c r="E32">
        <v>1.014606741573034</v>
      </c>
      <c r="F32" s="25">
        <f t="shared" si="7"/>
        <v>1.0953012036623426</v>
      </c>
      <c r="G32" s="25">
        <f t="shared" si="8"/>
        <v>1.1306517882792018</v>
      </c>
      <c r="H32" s="25">
        <f t="shared" si="9"/>
        <v>1.1482966734811229</v>
      </c>
      <c r="I32" s="25">
        <f t="shared" si="10"/>
        <v>1.0518644914249637</v>
      </c>
      <c r="J32" s="25">
        <f t="shared" si="11"/>
        <v>1.0043653322811983</v>
      </c>
      <c r="K32" s="25">
        <f t="shared" si="12"/>
        <v>1.1260662547973086</v>
      </c>
      <c r="L32" s="25">
        <f t="shared" si="13"/>
        <v>1.1426199534213406</v>
      </c>
      <c r="M32" s="2">
        <v>95.8</v>
      </c>
      <c r="N32" s="27">
        <v>0.9392156862745098</v>
      </c>
      <c r="O32" s="26">
        <v>0.9877232142857143</v>
      </c>
      <c r="P32">
        <v>1.0249406175771969</v>
      </c>
      <c r="Q32" s="2">
        <v>143.30000000000001</v>
      </c>
      <c r="R32" s="2">
        <f t="shared" si="15"/>
        <v>0.97682344921608744</v>
      </c>
      <c r="S32" s="2">
        <v>148.5</v>
      </c>
      <c r="T32" s="2">
        <f t="shared" si="16"/>
        <v>0.99464166108506358</v>
      </c>
      <c r="U32" s="2">
        <v>1065.82058742</v>
      </c>
      <c r="V32" s="2">
        <f t="shared" si="17"/>
        <v>1.1764051151684762</v>
      </c>
      <c r="W32">
        <v>0.99894514767932496</v>
      </c>
      <c r="X32" s="2">
        <v>101.7</v>
      </c>
      <c r="Y32" s="2">
        <f t="shared" si="18"/>
        <v>0.98166023166023175</v>
      </c>
      <c r="Z32">
        <v>1255.25</v>
      </c>
      <c r="AA32" s="2">
        <f t="shared" si="22"/>
        <v>0.91892386530014636</v>
      </c>
      <c r="AB32" s="2">
        <v>101.7</v>
      </c>
      <c r="AC32" s="2">
        <f t="shared" si="14"/>
        <v>0.98166023166023175</v>
      </c>
      <c r="AD32">
        <v>1.014606741573034</v>
      </c>
      <c r="AE32" s="2">
        <v>73.599999999999994</v>
      </c>
      <c r="AF32" s="27">
        <f t="shared" si="19"/>
        <v>0.85283893395133248</v>
      </c>
      <c r="AG32" s="46">
        <v>0.92292682926829261</v>
      </c>
      <c r="AH32" s="46">
        <v>1.0784708249496981</v>
      </c>
      <c r="AI32" s="46">
        <v>0.98690835850956704</v>
      </c>
      <c r="AJ32" s="46">
        <v>0.9352030947775628</v>
      </c>
      <c r="AK32" s="46">
        <v>0.9204655674102814</v>
      </c>
      <c r="AM32" s="48">
        <v>0.9718446601941747</v>
      </c>
      <c r="AN32" s="48">
        <v>1.1672354948805459</v>
      </c>
      <c r="AO32" s="2">
        <v>378.7</v>
      </c>
      <c r="AP32">
        <f t="shared" si="20"/>
        <v>0.98799895643099389</v>
      </c>
      <c r="AQ32" s="27">
        <f t="shared" si="21"/>
        <v>1.1448423597114645E-2</v>
      </c>
      <c r="AR32" s="52">
        <v>200.2</v>
      </c>
      <c r="AS32" s="52">
        <v>0.97184466000000003</v>
      </c>
    </row>
    <row r="33" spans="1:45" ht="14.4" x14ac:dyDescent="0.3">
      <c r="A33" s="5">
        <v>42917</v>
      </c>
      <c r="B33">
        <v>1.0127795527156549</v>
      </c>
      <c r="C33">
        <v>1.017877094972067</v>
      </c>
      <c r="D33">
        <v>1.0159574468085111</v>
      </c>
      <c r="E33">
        <v>1.01123595505618</v>
      </c>
      <c r="F33" s="25">
        <f t="shared" si="7"/>
        <v>1.1019236798123337</v>
      </c>
      <c r="G33" s="25">
        <f t="shared" si="8"/>
        <v>1.1382387171144186</v>
      </c>
      <c r="H33" s="25">
        <f t="shared" si="9"/>
        <v>1.1555405757586508</v>
      </c>
      <c r="I33" s="25">
        <f t="shared" si="10"/>
        <v>1.0574116565177172</v>
      </c>
      <c r="J33" s="25">
        <f t="shared" si="11"/>
        <v>1.0076669047438764</v>
      </c>
      <c r="K33" s="25">
        <f t="shared" si="12"/>
        <v>1.1353483816946752</v>
      </c>
      <c r="L33" s="25">
        <f t="shared" si="13"/>
        <v>1.1529443739697292</v>
      </c>
      <c r="M33" s="2">
        <v>96.4</v>
      </c>
      <c r="N33" s="27">
        <v>0.94509803921568636</v>
      </c>
      <c r="O33" s="26">
        <v>0.98549107142857151</v>
      </c>
      <c r="P33">
        <v>1.0178147268408551</v>
      </c>
      <c r="Q33" s="2">
        <v>143.30000000000001</v>
      </c>
      <c r="R33" s="2">
        <f t="shared" si="15"/>
        <v>0.97682344921608744</v>
      </c>
      <c r="S33" s="2">
        <v>148.4</v>
      </c>
      <c r="T33" s="2">
        <f t="shared" si="16"/>
        <v>0.99397186872069654</v>
      </c>
      <c r="U33" s="2">
        <v>1089.9653000000001</v>
      </c>
      <c r="V33" s="2">
        <f t="shared" si="17"/>
        <v>1.2030549694860226</v>
      </c>
      <c r="W33">
        <v>1.0021097046413501</v>
      </c>
      <c r="X33" s="2">
        <v>100.6</v>
      </c>
      <c r="Y33" s="2">
        <f t="shared" si="18"/>
        <v>0.97104247104247099</v>
      </c>
      <c r="Z33">
        <v>1186</v>
      </c>
      <c r="AA33" s="2">
        <f t="shared" si="22"/>
        <v>0.86822840409956081</v>
      </c>
      <c r="AB33" s="2">
        <v>100.6</v>
      </c>
      <c r="AC33" s="2">
        <f t="shared" si="14"/>
        <v>0.97104247104247099</v>
      </c>
      <c r="AD33">
        <v>1.01123595505618</v>
      </c>
      <c r="AE33" s="2">
        <v>74.5</v>
      </c>
      <c r="AF33" s="27">
        <f t="shared" si="19"/>
        <v>0.86326767091541134</v>
      </c>
      <c r="AG33" s="46">
        <v>0.92195121951219516</v>
      </c>
      <c r="AH33" s="46">
        <v>1.0603621730382293</v>
      </c>
      <c r="AI33" s="46">
        <v>0.96676737160120851</v>
      </c>
      <c r="AJ33" s="46">
        <v>0.94874274661508695</v>
      </c>
      <c r="AK33" s="46">
        <v>0.9204655674102814</v>
      </c>
      <c r="AM33" s="48">
        <v>0.96407766990291255</v>
      </c>
      <c r="AN33" s="48">
        <v>1.1717861205915812</v>
      </c>
      <c r="AO33" s="2">
        <v>380.8</v>
      </c>
      <c r="AP33">
        <f t="shared" si="20"/>
        <v>1.0055452865064696</v>
      </c>
      <c r="AQ33" s="27">
        <f t="shared" si="21"/>
        <v>1.1651741442716914E-2</v>
      </c>
      <c r="AR33" s="52">
        <v>198.6</v>
      </c>
      <c r="AS33" s="52">
        <v>0.96407767</v>
      </c>
    </row>
    <row r="34" spans="1:45" ht="14.4" x14ac:dyDescent="0.3">
      <c r="A34" s="5">
        <v>42948</v>
      </c>
      <c r="B34">
        <v>1.01384451544196</v>
      </c>
      <c r="C34">
        <v>1.017877094972067</v>
      </c>
      <c r="D34">
        <v>1.0170212765957449</v>
      </c>
      <c r="E34">
        <v>1.008988764044944</v>
      </c>
      <c r="F34" s="25">
        <f t="shared" si="7"/>
        <v>1.1085461559623246</v>
      </c>
      <c r="G34" s="25">
        <f t="shared" si="8"/>
        <v>1.1458256459496354</v>
      </c>
      <c r="H34" s="25">
        <f t="shared" si="9"/>
        <v>1.1627844780361785</v>
      </c>
      <c r="I34" s="25">
        <f t="shared" si="10"/>
        <v>1.0629588216104708</v>
      </c>
      <c r="J34" s="25">
        <f t="shared" si="11"/>
        <v>1.0109684772065546</v>
      </c>
      <c r="K34" s="25">
        <f t="shared" si="12"/>
        <v>1.1446305085920419</v>
      </c>
      <c r="L34" s="25">
        <f t="shared" si="13"/>
        <v>1.1632687945181175</v>
      </c>
      <c r="M34" s="2">
        <v>96.1</v>
      </c>
      <c r="N34" s="27">
        <v>0.94215686274509802</v>
      </c>
      <c r="O34" s="26">
        <v>0.9877232142857143</v>
      </c>
      <c r="P34">
        <v>1.0178147268408551</v>
      </c>
      <c r="Q34" s="2">
        <v>143.6</v>
      </c>
      <c r="R34" s="2">
        <f t="shared" si="15"/>
        <v>0.9788684389911384</v>
      </c>
      <c r="S34" s="2">
        <v>148.5</v>
      </c>
      <c r="T34" s="2">
        <f t="shared" si="16"/>
        <v>0.99464166108506358</v>
      </c>
      <c r="U34" s="2">
        <v>1176.26943333333</v>
      </c>
      <c r="V34" s="2">
        <f t="shared" si="17"/>
        <v>1.2983136134940905</v>
      </c>
      <c r="W34">
        <v>1.0031645569620249</v>
      </c>
      <c r="X34" s="2">
        <v>100.6</v>
      </c>
      <c r="Y34" s="2">
        <f t="shared" si="18"/>
        <v>0.97104247104247099</v>
      </c>
      <c r="Z34">
        <v>1202.75</v>
      </c>
      <c r="AA34" s="2">
        <f t="shared" si="22"/>
        <v>0.88049048316251832</v>
      </c>
      <c r="AB34" s="2">
        <v>100.6</v>
      </c>
      <c r="AC34" s="2">
        <f t="shared" si="14"/>
        <v>0.97104247104247099</v>
      </c>
      <c r="AD34">
        <v>1.008988764044944</v>
      </c>
      <c r="AE34" s="2">
        <v>72.099999999999994</v>
      </c>
      <c r="AF34" s="27">
        <f t="shared" si="19"/>
        <v>0.83545770567786781</v>
      </c>
      <c r="AG34" s="46">
        <v>0.92682926829268297</v>
      </c>
      <c r="AH34" s="46">
        <v>1.0613682092555332</v>
      </c>
      <c r="AI34" s="46">
        <v>1.0211480362537766</v>
      </c>
      <c r="AJ34" s="46">
        <v>0.95164410058027082</v>
      </c>
      <c r="AK34" s="46">
        <v>0.9204655674102814</v>
      </c>
      <c r="AM34" s="48">
        <v>0.98106796116504846</v>
      </c>
      <c r="AN34" s="48">
        <v>1.2098976109215016</v>
      </c>
      <c r="AO34" s="2">
        <v>400.2</v>
      </c>
      <c r="AP34">
        <f t="shared" si="20"/>
        <v>1.0509453781512605</v>
      </c>
      <c r="AQ34" s="27">
        <f t="shared" si="21"/>
        <v>1.2177814347059798E-2</v>
      </c>
      <c r="AR34" s="52">
        <v>202.1</v>
      </c>
      <c r="AS34" s="52">
        <v>0.98106796100000004</v>
      </c>
    </row>
    <row r="35" spans="1:45" ht="14.4" x14ac:dyDescent="0.3">
      <c r="A35" s="5">
        <v>42979</v>
      </c>
      <c r="B35">
        <v>1.0127795527156549</v>
      </c>
      <c r="C35">
        <v>1.018994413407821</v>
      </c>
      <c r="D35">
        <v>1.0170212765957449</v>
      </c>
      <c r="E35">
        <v>1.0078651685393261</v>
      </c>
      <c r="F35" s="25">
        <f t="shared" si="7"/>
        <v>1.1151686321123158</v>
      </c>
      <c r="G35" s="25">
        <f t="shared" si="8"/>
        <v>1.153412574784852</v>
      </c>
      <c r="H35" s="25">
        <f t="shared" si="9"/>
        <v>1.1700283803137062</v>
      </c>
      <c r="I35" s="25">
        <f t="shared" si="10"/>
        <v>1.0685059867032245</v>
      </c>
      <c r="J35" s="25">
        <f t="shared" si="11"/>
        <v>1.0142700496692327</v>
      </c>
      <c r="K35" s="25">
        <f t="shared" si="12"/>
        <v>1.1539126354894087</v>
      </c>
      <c r="L35" s="25">
        <f t="shared" si="13"/>
        <v>1.173593215066506</v>
      </c>
      <c r="M35" s="2">
        <v>96.6</v>
      </c>
      <c r="N35" s="27">
        <v>0.94705882352941173</v>
      </c>
      <c r="O35" s="26">
        <v>0.9944196428571429</v>
      </c>
      <c r="P35">
        <v>1.02375296912114</v>
      </c>
      <c r="Q35" s="2">
        <v>143.6</v>
      </c>
      <c r="R35" s="2">
        <f t="shared" si="15"/>
        <v>0.9788684389911384</v>
      </c>
      <c r="S35" s="2">
        <v>148.6</v>
      </c>
      <c r="T35" s="2">
        <f t="shared" si="16"/>
        <v>0.99531145344943062</v>
      </c>
      <c r="U35" s="2">
        <v>1154.7683612025</v>
      </c>
      <c r="V35" s="2">
        <f t="shared" si="17"/>
        <v>1.2745816913161345</v>
      </c>
      <c r="W35">
        <v>1.0021097046413501</v>
      </c>
      <c r="X35" s="2">
        <v>101.3</v>
      </c>
      <c r="Y35" s="2">
        <f t="shared" si="18"/>
        <v>0.97779922779922779</v>
      </c>
      <c r="Z35">
        <v>1251.75</v>
      </c>
      <c r="AA35" s="2">
        <f t="shared" si="22"/>
        <v>0.91636163982430452</v>
      </c>
      <c r="AB35" s="2">
        <v>101.3</v>
      </c>
      <c r="AC35" s="2">
        <f t="shared" si="14"/>
        <v>0.97779922779922779</v>
      </c>
      <c r="AD35">
        <v>1.0078651685393261</v>
      </c>
      <c r="AE35" s="2">
        <v>72.3</v>
      </c>
      <c r="AF35" s="27">
        <f t="shared" si="19"/>
        <v>0.83777520278099649</v>
      </c>
      <c r="AG35" s="46">
        <v>0.93268292682926823</v>
      </c>
      <c r="AH35" s="46">
        <v>1.0935613682092555</v>
      </c>
      <c r="AI35" s="46">
        <v>1.042296072507553</v>
      </c>
      <c r="AJ35" s="46">
        <v>0.95164410058027082</v>
      </c>
      <c r="AK35" s="46">
        <v>0.93501454898157144</v>
      </c>
      <c r="AM35" s="48">
        <v>1.0009708737864078</v>
      </c>
      <c r="AN35" s="48">
        <v>1.2098976109215016</v>
      </c>
      <c r="AO35" s="2">
        <v>408.8</v>
      </c>
      <c r="AP35">
        <f t="shared" si="20"/>
        <v>1.0214892553723138</v>
      </c>
      <c r="AQ35" s="27">
        <f t="shared" si="21"/>
        <v>1.1836491951011748E-2</v>
      </c>
      <c r="AR35" s="52">
        <v>206.2</v>
      </c>
      <c r="AS35" s="52">
        <v>1.0009708740000001</v>
      </c>
    </row>
    <row r="36" spans="1:45" ht="14.4" x14ac:dyDescent="0.3">
      <c r="A36" s="5">
        <v>43009</v>
      </c>
      <c r="B36">
        <v>1.01384451544196</v>
      </c>
      <c r="C36">
        <v>1.02122905027933</v>
      </c>
      <c r="D36">
        <v>1.0170212765957449</v>
      </c>
      <c r="E36">
        <v>1.01123595505618</v>
      </c>
      <c r="F36" s="25">
        <f t="shared" si="7"/>
        <v>1.1217911082623069</v>
      </c>
      <c r="G36" s="25">
        <f t="shared" si="8"/>
        <v>1.1609995036200687</v>
      </c>
      <c r="H36" s="25">
        <f t="shared" si="9"/>
        <v>1.1772722825912338</v>
      </c>
      <c r="I36" s="25">
        <f t="shared" si="10"/>
        <v>1.0740531517959782</v>
      </c>
      <c r="J36" s="25">
        <f t="shared" si="11"/>
        <v>1.0175716221319107</v>
      </c>
      <c r="K36" s="25">
        <f t="shared" si="12"/>
        <v>1.1631947623867753</v>
      </c>
      <c r="L36" s="25">
        <f t="shared" si="13"/>
        <v>1.1839176356148944</v>
      </c>
      <c r="M36" s="2">
        <v>97</v>
      </c>
      <c r="N36" s="27">
        <v>0.9509803921568627</v>
      </c>
      <c r="O36" s="26">
        <v>0.99776785714285732</v>
      </c>
      <c r="P36">
        <v>1.0273159144893109</v>
      </c>
      <c r="Q36" s="2">
        <v>143.6</v>
      </c>
      <c r="R36" s="2">
        <f t="shared" si="15"/>
        <v>0.9788684389911384</v>
      </c>
      <c r="S36" s="2">
        <v>148.4</v>
      </c>
      <c r="T36" s="2">
        <f t="shared" si="16"/>
        <v>0.99397186872069654</v>
      </c>
      <c r="U36" s="2">
        <v>1135.2543555555601</v>
      </c>
      <c r="V36" s="2">
        <f t="shared" si="17"/>
        <v>1.2530430042880893</v>
      </c>
      <c r="W36">
        <v>1</v>
      </c>
      <c r="X36" s="2">
        <v>103.5</v>
      </c>
      <c r="Y36" s="2">
        <f t="shared" si="18"/>
        <v>0.99903474903474909</v>
      </c>
      <c r="Z36">
        <v>1280</v>
      </c>
      <c r="AA36" s="2">
        <f t="shared" si="22"/>
        <v>0.93704245973645683</v>
      </c>
      <c r="AB36" s="2">
        <v>103.5</v>
      </c>
      <c r="AC36" s="2">
        <f t="shared" ref="AC36:AC67" si="23">AB36/$AB$3</f>
        <v>0.99903474903474909</v>
      </c>
      <c r="AD36">
        <v>1.01123595505618</v>
      </c>
      <c r="AE36" s="2">
        <v>71.2</v>
      </c>
      <c r="AF36" s="27">
        <f t="shared" ref="AF36:AF67" si="24">AE36/$AE$3</f>
        <v>0.82502896871378917</v>
      </c>
      <c r="AG36" s="46">
        <v>0.93756097560975604</v>
      </c>
      <c r="AH36" s="46">
        <v>1.0653923541247485</v>
      </c>
      <c r="AI36" s="46">
        <v>1.0755287009063443</v>
      </c>
      <c r="AJ36" s="46">
        <v>0.96131528046421666</v>
      </c>
      <c r="AK36" s="46">
        <v>0.93695441319107664</v>
      </c>
      <c r="AM36" s="48">
        <v>1.0616504854368931</v>
      </c>
      <c r="AN36" s="48">
        <v>1.2935153583617747</v>
      </c>
      <c r="AO36" s="2">
        <v>388.9</v>
      </c>
      <c r="AP36">
        <f t="shared" si="20"/>
        <v>0.95132093933463791</v>
      </c>
      <c r="AQ36" s="27">
        <f t="shared" si="21"/>
        <v>1.1023417605268111E-2</v>
      </c>
      <c r="AR36" s="52">
        <v>218.7</v>
      </c>
      <c r="AS36" s="52">
        <v>1.0616504849999999</v>
      </c>
    </row>
    <row r="37" spans="1:45" ht="14.4" x14ac:dyDescent="0.3">
      <c r="A37" s="5">
        <v>43040</v>
      </c>
      <c r="B37">
        <v>1.0127795527156549</v>
      </c>
      <c r="C37">
        <v>1.022346368715084</v>
      </c>
      <c r="D37">
        <v>1.0170212765957449</v>
      </c>
      <c r="E37">
        <v>1.0123595505617979</v>
      </c>
      <c r="F37" s="25">
        <f t="shared" si="7"/>
        <v>1.1284135844122978</v>
      </c>
      <c r="G37" s="25">
        <f t="shared" si="8"/>
        <v>1.1685864324552855</v>
      </c>
      <c r="H37" s="25">
        <f t="shared" si="9"/>
        <v>1.1845161848687615</v>
      </c>
      <c r="I37" s="25">
        <f t="shared" si="10"/>
        <v>1.0796003168887318</v>
      </c>
      <c r="J37" s="25">
        <f t="shared" si="11"/>
        <v>1.0208731945945888</v>
      </c>
      <c r="K37" s="25">
        <f t="shared" si="12"/>
        <v>1.172476889284142</v>
      </c>
      <c r="L37" s="25">
        <f t="shared" si="13"/>
        <v>1.1942420561632829</v>
      </c>
      <c r="M37" s="2">
        <v>96.7</v>
      </c>
      <c r="N37" s="27">
        <v>0.94803921568627458</v>
      </c>
      <c r="O37" s="26">
        <v>1.005580357142857</v>
      </c>
      <c r="P37">
        <v>1.0273159144893109</v>
      </c>
      <c r="Q37" s="2">
        <v>151.1</v>
      </c>
      <c r="R37" s="2">
        <f t="shared" si="15"/>
        <v>1.0299931833674165</v>
      </c>
      <c r="S37" s="2">
        <v>148.5</v>
      </c>
      <c r="T37" s="2">
        <f t="shared" si="16"/>
        <v>0.99464166108506358</v>
      </c>
      <c r="U37" s="2">
        <v>1149.6962826445199</v>
      </c>
      <c r="V37" s="2">
        <f t="shared" si="17"/>
        <v>1.268983357759276</v>
      </c>
      <c r="W37">
        <v>0.99894514767932496</v>
      </c>
      <c r="X37" s="2">
        <v>105.7</v>
      </c>
      <c r="Y37" s="2">
        <f t="shared" si="18"/>
        <v>1.0202702702702704</v>
      </c>
      <c r="Z37">
        <v>1213.25</v>
      </c>
      <c r="AA37" s="2">
        <f t="shared" si="22"/>
        <v>0.88817715959004395</v>
      </c>
      <c r="AB37" s="2">
        <v>105.7</v>
      </c>
      <c r="AC37" s="2">
        <f t="shared" si="23"/>
        <v>1.0202702702702704</v>
      </c>
      <c r="AD37">
        <v>1.0123595505617979</v>
      </c>
      <c r="AE37" s="2">
        <v>71.5</v>
      </c>
      <c r="AF37" s="27">
        <f t="shared" si="24"/>
        <v>0.82850521436848201</v>
      </c>
      <c r="AG37" s="46">
        <v>0.93560975609756103</v>
      </c>
      <c r="AH37" s="46">
        <v>1.0865191146881288</v>
      </c>
      <c r="AI37" s="46">
        <v>1.0574018126888218</v>
      </c>
      <c r="AJ37" s="46">
        <v>0.95938104448742745</v>
      </c>
      <c r="AK37" s="46">
        <v>0.93307468477206601</v>
      </c>
      <c r="AM37" s="48">
        <v>1.0723300970873786</v>
      </c>
      <c r="AN37" s="48">
        <v>1.2468714448236631</v>
      </c>
      <c r="AO37" s="2">
        <v>379.3</v>
      </c>
      <c r="AP37">
        <f t="shared" si="20"/>
        <v>0.9753149910002572</v>
      </c>
      <c r="AQ37" s="27">
        <f t="shared" si="21"/>
        <v>1.1301448331405067E-2</v>
      </c>
      <c r="AR37" s="52">
        <v>220.9</v>
      </c>
      <c r="AS37" s="52">
        <v>1.072330097</v>
      </c>
    </row>
    <row r="38" spans="1:45" ht="14.4" x14ac:dyDescent="0.3">
      <c r="A38" s="5">
        <v>43070</v>
      </c>
      <c r="B38">
        <v>1.01384451544196</v>
      </c>
      <c r="C38">
        <v>1.023463687150838</v>
      </c>
      <c r="D38">
        <v>1.0159574468085111</v>
      </c>
      <c r="E38">
        <v>1.0134831460674161</v>
      </c>
      <c r="F38" s="25">
        <f t="shared" si="7"/>
        <v>1.1350360605622889</v>
      </c>
      <c r="G38" s="25">
        <f t="shared" si="8"/>
        <v>1.1761733612905023</v>
      </c>
      <c r="H38" s="25">
        <f t="shared" si="9"/>
        <v>1.1917600871462894</v>
      </c>
      <c r="I38" s="25">
        <f t="shared" si="10"/>
        <v>1.0851474819814855</v>
      </c>
      <c r="J38" s="25">
        <f t="shared" si="11"/>
        <v>1.024174767057267</v>
      </c>
      <c r="K38" s="25">
        <f t="shared" si="12"/>
        <v>1.1817590161815088</v>
      </c>
      <c r="L38" s="25">
        <f t="shared" si="13"/>
        <v>1.2045664767116713</v>
      </c>
      <c r="M38" s="2">
        <v>97.1</v>
      </c>
      <c r="N38" s="27">
        <v>0.95196078431372544</v>
      </c>
      <c r="O38" s="26">
        <v>1.005580357142857</v>
      </c>
      <c r="P38">
        <v>1.032066508313539</v>
      </c>
      <c r="Q38" s="2">
        <v>151.1</v>
      </c>
      <c r="R38" s="2">
        <f t="shared" si="15"/>
        <v>1.0299931833674165</v>
      </c>
      <c r="S38" s="2">
        <v>148.5</v>
      </c>
      <c r="T38" s="2">
        <f t="shared" si="16"/>
        <v>0.99464166108506358</v>
      </c>
      <c r="U38" s="2">
        <v>1170.7539999999999</v>
      </c>
      <c r="V38" s="2">
        <f t="shared" si="17"/>
        <v>1.2922259247570898</v>
      </c>
      <c r="W38">
        <v>0.99894514767932496</v>
      </c>
      <c r="X38" s="2">
        <v>106.3</v>
      </c>
      <c r="Y38" s="2">
        <f t="shared" si="18"/>
        <v>1.0260617760617761</v>
      </c>
      <c r="Z38">
        <v>1203</v>
      </c>
      <c r="AA38" s="2">
        <f t="shared" si="22"/>
        <v>0.88067349926793559</v>
      </c>
      <c r="AB38" s="2">
        <v>106.3</v>
      </c>
      <c r="AC38" s="2">
        <f t="shared" si="23"/>
        <v>1.0260617760617761</v>
      </c>
      <c r="AD38">
        <v>1.0134831460674161</v>
      </c>
      <c r="AE38" s="2">
        <v>71.400000000000006</v>
      </c>
      <c r="AF38" s="27">
        <f t="shared" si="24"/>
        <v>0.82734646581691784</v>
      </c>
      <c r="AG38" s="46">
        <v>0.94146341463414629</v>
      </c>
      <c r="AH38" s="46">
        <v>1.1146881287726358</v>
      </c>
      <c r="AI38" s="46">
        <v>1.041289023162135</v>
      </c>
      <c r="AJ38" s="46">
        <v>0.96228239845261121</v>
      </c>
      <c r="AK38" s="46">
        <v>0.93792434529582935</v>
      </c>
      <c r="AM38" s="48">
        <v>1.0587378640776699</v>
      </c>
      <c r="AN38" s="48">
        <v>1.1427758816837315</v>
      </c>
      <c r="AO38" s="2">
        <v>400.4</v>
      </c>
      <c r="AP38">
        <f t="shared" si="20"/>
        <v>1.0556287898760874</v>
      </c>
      <c r="AQ38" s="27">
        <f t="shared" si="21"/>
        <v>1.2232083312585023E-2</v>
      </c>
      <c r="AR38" s="52">
        <v>218.1</v>
      </c>
      <c r="AS38" s="52">
        <v>1.058737864</v>
      </c>
    </row>
    <row r="39" spans="1:45" ht="14.4" x14ac:dyDescent="0.3">
      <c r="A39" s="5">
        <v>43101</v>
      </c>
      <c r="B39">
        <v>1.018104366347178</v>
      </c>
      <c r="C39">
        <v>1.029050279329609</v>
      </c>
      <c r="D39">
        <v>1.0127659574468091</v>
      </c>
      <c r="E39">
        <v>1.0157303370786519</v>
      </c>
      <c r="F39" s="25">
        <f t="shared" si="7"/>
        <v>1.14165853671228</v>
      </c>
      <c r="G39" s="25">
        <f t="shared" si="8"/>
        <v>1.1837602901257189</v>
      </c>
      <c r="H39" s="25">
        <f t="shared" si="9"/>
        <v>1.1990039894238171</v>
      </c>
      <c r="I39" s="25">
        <f t="shared" si="10"/>
        <v>1.0906946470742391</v>
      </c>
      <c r="J39" s="25">
        <f t="shared" si="11"/>
        <v>1.0274763395199451</v>
      </c>
      <c r="K39" s="25">
        <f t="shared" si="12"/>
        <v>1.1910411430788754</v>
      </c>
      <c r="L39" s="25">
        <f t="shared" si="13"/>
        <v>1.2148908972600598</v>
      </c>
      <c r="M39" s="2">
        <v>97.7</v>
      </c>
      <c r="N39" s="27">
        <v>0.957843137254902</v>
      </c>
      <c r="O39" s="26">
        <v>1.0089285714285721</v>
      </c>
      <c r="P39">
        <v>1.032066508313539</v>
      </c>
      <c r="Q39" s="2">
        <v>151.1</v>
      </c>
      <c r="R39" s="2">
        <f t="shared" si="15"/>
        <v>1.0299931833674165</v>
      </c>
      <c r="S39" s="2">
        <v>148.5</v>
      </c>
      <c r="T39" s="2">
        <f t="shared" si="16"/>
        <v>0.99464166108506358</v>
      </c>
      <c r="U39" s="2">
        <v>1305.45259791076</v>
      </c>
      <c r="V39" s="2">
        <f t="shared" si="17"/>
        <v>1.4409002152132535</v>
      </c>
      <c r="W39">
        <v>1.001054852320675</v>
      </c>
      <c r="X39" s="2">
        <v>107.1</v>
      </c>
      <c r="Y39" s="2">
        <f t="shared" si="18"/>
        <v>1.0337837837837838</v>
      </c>
      <c r="Z39">
        <v>1192</v>
      </c>
      <c r="AA39" s="2">
        <f t="shared" si="22"/>
        <v>0.87262079062957543</v>
      </c>
      <c r="AB39" s="2">
        <v>107.1</v>
      </c>
      <c r="AC39" s="2">
        <f t="shared" si="23"/>
        <v>1.0337837837837838</v>
      </c>
      <c r="AD39">
        <v>1.0157303370786519</v>
      </c>
      <c r="AE39" s="2">
        <v>72.2</v>
      </c>
      <c r="AF39" s="27">
        <f t="shared" si="24"/>
        <v>0.83661645422943232</v>
      </c>
      <c r="AG39" s="46">
        <v>0.94048780487804884</v>
      </c>
      <c r="AH39" s="46">
        <v>1.112676056338028</v>
      </c>
      <c r="AI39" s="46">
        <v>1.0433031218529707</v>
      </c>
      <c r="AJ39" s="46">
        <v>0.95164410058027082</v>
      </c>
      <c r="AK39" s="46">
        <v>0.93501454898157144</v>
      </c>
      <c r="AM39" s="48">
        <v>1.0669902912621361</v>
      </c>
      <c r="AN39" s="48">
        <v>1.1467576791808873</v>
      </c>
      <c r="AO39" s="2">
        <v>440.5</v>
      </c>
      <c r="AP39">
        <f t="shared" si="20"/>
        <v>1.1001498501498501</v>
      </c>
      <c r="AQ39" s="27">
        <f t="shared" si="21"/>
        <v>1.2747970453648321E-2</v>
      </c>
      <c r="AR39" s="55">
        <v>219.8</v>
      </c>
      <c r="AS39" s="55">
        <v>1.066990291</v>
      </c>
    </row>
    <row r="40" spans="1:45" ht="14.4" x14ac:dyDescent="0.3">
      <c r="A40" s="5">
        <v>43132</v>
      </c>
      <c r="B40">
        <v>1.018104366347178</v>
      </c>
      <c r="C40">
        <v>1.0312849162011171</v>
      </c>
      <c r="D40">
        <v>1.0127659574468091</v>
      </c>
      <c r="E40">
        <v>1.017977528089888</v>
      </c>
      <c r="F40" s="25">
        <f t="shared" si="7"/>
        <v>1.1325145436442456</v>
      </c>
      <c r="G40" s="25">
        <f t="shared" si="8"/>
        <v>1.1688951582056761</v>
      </c>
      <c r="H40" s="25">
        <f t="shared" si="9"/>
        <v>1.184411777387367</v>
      </c>
      <c r="I40" s="25">
        <f t="shared" si="10"/>
        <v>1.0896906873192154</v>
      </c>
      <c r="J40" s="25">
        <f t="shared" si="11"/>
        <v>1.0344593845068017</v>
      </c>
      <c r="K40" s="25">
        <f t="shared" si="12"/>
        <v>1.1862363005487182</v>
      </c>
      <c r="L40" s="25">
        <f t="shared" si="13"/>
        <v>1.2171281821144557</v>
      </c>
      <c r="M40" s="2">
        <v>97.4</v>
      </c>
      <c r="N40" s="27">
        <v>0.95490196078431377</v>
      </c>
      <c r="O40" s="26">
        <v>1.012276785714286</v>
      </c>
      <c r="P40">
        <v>1.0380047505938239</v>
      </c>
      <c r="Q40" s="2">
        <v>151.1</v>
      </c>
      <c r="R40" s="2">
        <f t="shared" si="15"/>
        <v>1.0299931833674165</v>
      </c>
      <c r="S40" s="2">
        <v>149.19999999999999</v>
      </c>
      <c r="T40" s="2">
        <f t="shared" si="16"/>
        <v>0.99933020763563285</v>
      </c>
      <c r="U40" s="2">
        <v>1416.24157181389</v>
      </c>
      <c r="V40" s="2">
        <f t="shared" si="17"/>
        <v>1.5631841316080395</v>
      </c>
      <c r="W40">
        <v>1</v>
      </c>
      <c r="X40" s="2">
        <v>106.3</v>
      </c>
      <c r="Y40" s="2">
        <f t="shared" si="18"/>
        <v>1.0260617760617761</v>
      </c>
      <c r="Z40">
        <v>1187</v>
      </c>
      <c r="AA40" s="2">
        <f t="shared" si="22"/>
        <v>0.86896046852122988</v>
      </c>
      <c r="AB40" s="2">
        <v>106.3</v>
      </c>
      <c r="AC40" s="2">
        <f t="shared" si="23"/>
        <v>1.0260617760617761</v>
      </c>
      <c r="AD40">
        <v>1.017977528089888</v>
      </c>
      <c r="AE40" s="2">
        <v>73.2</v>
      </c>
      <c r="AF40" s="27">
        <f t="shared" si="24"/>
        <v>0.84820393974507535</v>
      </c>
      <c r="AG40" s="46">
        <v>0.94341463414634152</v>
      </c>
      <c r="AH40" s="46">
        <v>1.1478873239436618</v>
      </c>
      <c r="AI40" s="46">
        <v>1.0342396777442096</v>
      </c>
      <c r="AJ40" s="46">
        <v>0.96228239845261121</v>
      </c>
      <c r="AK40" s="46">
        <v>0.93016488845780809</v>
      </c>
      <c r="AM40" s="48">
        <v>1.1063106796116504</v>
      </c>
      <c r="AN40" s="48">
        <v>1.1916951080773606</v>
      </c>
      <c r="AO40" s="2">
        <v>450.9</v>
      </c>
      <c r="AP40">
        <f t="shared" si="20"/>
        <v>1.0236095346197502</v>
      </c>
      <c r="AQ40" s="27">
        <f t="shared" si="21"/>
        <v>1.1861060656080537E-2</v>
      </c>
      <c r="AR40" s="52">
        <v>227.9</v>
      </c>
      <c r="AS40" s="52">
        <v>1.10631068</v>
      </c>
    </row>
    <row r="41" spans="1:45" ht="14.4" x14ac:dyDescent="0.3">
      <c r="A41" s="5">
        <v>43160</v>
      </c>
      <c r="B41">
        <v>1.0202342917997871</v>
      </c>
      <c r="C41">
        <v>1.032402234636872</v>
      </c>
      <c r="D41">
        <v>1.0127659574468091</v>
      </c>
      <c r="E41">
        <v>1.0191011235955061</v>
      </c>
      <c r="F41" s="25">
        <f t="shared" si="7"/>
        <v>1.1233705505762113</v>
      </c>
      <c r="G41" s="25">
        <f t="shared" si="8"/>
        <v>1.1540300262856333</v>
      </c>
      <c r="H41" s="25">
        <f t="shared" si="9"/>
        <v>1.1698195653509171</v>
      </c>
      <c r="I41" s="25">
        <f t="shared" si="10"/>
        <v>1.0886867275641916</v>
      </c>
      <c r="J41" s="25">
        <f t="shared" si="11"/>
        <v>1.0414424294936584</v>
      </c>
      <c r="K41" s="25">
        <f t="shared" si="12"/>
        <v>1.181431458018561</v>
      </c>
      <c r="L41" s="25">
        <f t="shared" si="13"/>
        <v>1.2193654669688518</v>
      </c>
      <c r="M41" s="2">
        <v>99.3</v>
      </c>
      <c r="N41" s="27">
        <v>0.97352941176470587</v>
      </c>
      <c r="O41" s="26">
        <v>1.013392857142857</v>
      </c>
      <c r="P41">
        <v>1.042755344418052</v>
      </c>
      <c r="Q41" s="2">
        <v>152.69999999999999</v>
      </c>
      <c r="R41" s="2">
        <f t="shared" si="15"/>
        <v>1.0408997955010224</v>
      </c>
      <c r="S41" s="2">
        <v>149.5</v>
      </c>
      <c r="T41" s="2">
        <f t="shared" si="16"/>
        <v>1.0013395847287341</v>
      </c>
      <c r="U41" s="2">
        <v>1405.2652341768701</v>
      </c>
      <c r="V41" s="2">
        <f t="shared" si="17"/>
        <v>1.5510689408391467</v>
      </c>
      <c r="W41">
        <v>1.004219409282701</v>
      </c>
      <c r="X41" s="2">
        <v>106.8</v>
      </c>
      <c r="Y41" s="2">
        <f t="shared" si="18"/>
        <v>1.0308880308880308</v>
      </c>
      <c r="Z41">
        <v>1182.75</v>
      </c>
      <c r="AA41" s="2">
        <f t="shared" si="22"/>
        <v>0.86584919472913613</v>
      </c>
      <c r="AB41" s="2">
        <v>106.8</v>
      </c>
      <c r="AC41" s="2">
        <f t="shared" si="23"/>
        <v>1.0308880308880308</v>
      </c>
      <c r="AD41">
        <v>1.0191011235955061</v>
      </c>
      <c r="AE41" s="2">
        <v>70.599999999999994</v>
      </c>
      <c r="AF41" s="27">
        <f t="shared" si="24"/>
        <v>0.81807647740440326</v>
      </c>
      <c r="AG41" s="46">
        <v>0.94439024390243897</v>
      </c>
      <c r="AH41" s="46">
        <v>1.1559356136820926</v>
      </c>
      <c r="AI41" s="46">
        <v>1.0433031218529707</v>
      </c>
      <c r="AJ41" s="46">
        <v>0.95357833655705981</v>
      </c>
      <c r="AK41" s="46">
        <v>0.91949563530552869</v>
      </c>
      <c r="AM41" s="48">
        <v>1.1480582524271845</v>
      </c>
      <c r="AN41" s="48">
        <v>1.2445961319681456</v>
      </c>
      <c r="AO41" s="2">
        <v>471.6</v>
      </c>
      <c r="AP41">
        <f t="shared" si="20"/>
        <v>1.0459081836327346</v>
      </c>
      <c r="AQ41" s="27">
        <f t="shared" si="21"/>
        <v>1.2119445928536903E-2</v>
      </c>
      <c r="AR41" s="52">
        <v>236.5</v>
      </c>
      <c r="AS41" s="52">
        <v>1.148058252</v>
      </c>
    </row>
    <row r="42" spans="1:45" ht="14.4" x14ac:dyDescent="0.3">
      <c r="A42" s="5">
        <v>43191</v>
      </c>
      <c r="B42">
        <v>1.0202342917997871</v>
      </c>
      <c r="C42">
        <v>1.03463687150838</v>
      </c>
      <c r="D42">
        <v>1.013829787234042</v>
      </c>
      <c r="E42">
        <v>1.020224719101124</v>
      </c>
      <c r="F42" s="25">
        <f t="shared" si="7"/>
        <v>1.1142265575081769</v>
      </c>
      <c r="G42" s="25">
        <f t="shared" si="8"/>
        <v>1.1391648943655905</v>
      </c>
      <c r="H42" s="25">
        <f t="shared" si="9"/>
        <v>1.155227353314467</v>
      </c>
      <c r="I42" s="25">
        <f t="shared" si="10"/>
        <v>1.0876827678091676</v>
      </c>
      <c r="J42" s="25">
        <f t="shared" si="11"/>
        <v>1.0484254744805153</v>
      </c>
      <c r="K42" s="25">
        <f t="shared" si="12"/>
        <v>1.1766266154884037</v>
      </c>
      <c r="L42" s="25">
        <f t="shared" si="13"/>
        <v>1.221602751823248</v>
      </c>
      <c r="M42" s="2">
        <v>103.3</v>
      </c>
      <c r="N42" s="27">
        <v>1.0127450980392156</v>
      </c>
      <c r="O42" s="26">
        <v>1.010044642857143</v>
      </c>
      <c r="P42">
        <v>1.0415676959619951</v>
      </c>
      <c r="Q42" s="2">
        <v>159.9</v>
      </c>
      <c r="R42" s="2">
        <f t="shared" si="15"/>
        <v>1.0899795501022496</v>
      </c>
      <c r="S42" s="2">
        <v>149.5</v>
      </c>
      <c r="T42" s="2">
        <f t="shared" si="16"/>
        <v>1.0013395847287341</v>
      </c>
      <c r="U42" s="2">
        <v>1428.2197571428601</v>
      </c>
      <c r="V42" s="2">
        <f t="shared" si="17"/>
        <v>1.5764051170700921</v>
      </c>
      <c r="W42">
        <v>1.0052742616033761</v>
      </c>
      <c r="X42" s="2">
        <v>107.5</v>
      </c>
      <c r="Y42" s="2">
        <f t="shared" si="18"/>
        <v>1.0376447876447876</v>
      </c>
      <c r="Z42">
        <v>1149.8</v>
      </c>
      <c r="AA42" s="2">
        <f t="shared" si="22"/>
        <v>0.8417276720351391</v>
      </c>
      <c r="AB42" s="2">
        <v>107.5</v>
      </c>
      <c r="AC42" s="2">
        <f t="shared" si="23"/>
        <v>1.0376447876447876</v>
      </c>
      <c r="AD42">
        <v>1.020224719101124</v>
      </c>
      <c r="AE42" s="2">
        <v>72.400000000000006</v>
      </c>
      <c r="AF42" s="27">
        <f t="shared" si="24"/>
        <v>0.83893395133256088</v>
      </c>
      <c r="AG42" s="46">
        <v>0.93463414634146336</v>
      </c>
      <c r="AH42" s="46">
        <v>1.1418511066398389</v>
      </c>
      <c r="AI42" s="46">
        <v>1.0402819738167171</v>
      </c>
      <c r="AJ42" s="46">
        <v>0.94197292069632499</v>
      </c>
      <c r="AK42" s="46">
        <v>0.91658583899127066</v>
      </c>
      <c r="AM42" s="48">
        <v>1.1485436893203884</v>
      </c>
      <c r="AN42" s="48">
        <v>1.270193401592719</v>
      </c>
      <c r="AO42" s="2">
        <v>495.2</v>
      </c>
      <c r="AP42">
        <f t="shared" si="20"/>
        <v>1.0500424088210347</v>
      </c>
      <c r="AQ42" s="27">
        <f t="shared" si="21"/>
        <v>1.2167351203024736E-2</v>
      </c>
      <c r="AR42" s="52">
        <v>236.6</v>
      </c>
      <c r="AS42" s="52">
        <v>1.148543689</v>
      </c>
    </row>
    <row r="43" spans="1:45" ht="14.4" x14ac:dyDescent="0.3">
      <c r="A43" s="5">
        <v>43221</v>
      </c>
      <c r="B43">
        <v>1.0223642172523959</v>
      </c>
      <c r="C43">
        <v>1.0368715083798881</v>
      </c>
      <c r="D43">
        <v>1.014893617021277</v>
      </c>
      <c r="E43">
        <v>1.023595505617978</v>
      </c>
      <c r="F43" s="25">
        <f t="shared" si="7"/>
        <v>1.1050825644401425</v>
      </c>
      <c r="G43" s="25">
        <f t="shared" si="8"/>
        <v>1.1242997624455477</v>
      </c>
      <c r="H43" s="25">
        <f t="shared" si="9"/>
        <v>1.1406351412780171</v>
      </c>
      <c r="I43" s="25">
        <f t="shared" si="10"/>
        <v>1.0866788080541439</v>
      </c>
      <c r="J43" s="25">
        <f t="shared" si="11"/>
        <v>1.0554085194673719</v>
      </c>
      <c r="K43" s="25">
        <f t="shared" si="12"/>
        <v>1.1718217729582465</v>
      </c>
      <c r="L43" s="25">
        <f t="shared" si="13"/>
        <v>1.2238400366776438</v>
      </c>
      <c r="M43" s="2">
        <v>103.8</v>
      </c>
      <c r="N43" s="27">
        <v>1.0176470588235293</v>
      </c>
      <c r="O43" s="26">
        <v>1.025669642857143</v>
      </c>
      <c r="P43">
        <v>1.04750593824228</v>
      </c>
      <c r="Q43" s="2">
        <v>159.9</v>
      </c>
      <c r="R43" s="2">
        <f t="shared" si="15"/>
        <v>1.0899795501022496</v>
      </c>
      <c r="S43" s="2">
        <v>153.69999999999999</v>
      </c>
      <c r="T43" s="2">
        <f t="shared" si="16"/>
        <v>1.0294708640321499</v>
      </c>
      <c r="U43" s="2">
        <v>1545.81988</v>
      </c>
      <c r="V43" s="2">
        <f t="shared" si="17"/>
        <v>1.7062068751769319</v>
      </c>
      <c r="W43">
        <v>1.0073839662447259</v>
      </c>
      <c r="X43" s="2">
        <v>106.2</v>
      </c>
      <c r="Y43" s="2">
        <f t="shared" si="18"/>
        <v>1.0250965250965252</v>
      </c>
      <c r="Z43">
        <v>1136</v>
      </c>
      <c r="AA43" s="2">
        <f t="shared" si="22"/>
        <v>0.83162518301610544</v>
      </c>
      <c r="AB43" s="2">
        <v>106.2</v>
      </c>
      <c r="AC43" s="2">
        <f t="shared" si="23"/>
        <v>1.0250965250965252</v>
      </c>
      <c r="AD43">
        <v>1.023595505617978</v>
      </c>
      <c r="AE43" s="2">
        <v>73.900000000000006</v>
      </c>
      <c r="AF43" s="27">
        <f t="shared" si="24"/>
        <v>0.85631517960602554</v>
      </c>
      <c r="AG43" s="46">
        <v>0.93268292682926823</v>
      </c>
      <c r="AH43" s="46">
        <v>1.1468812877263581</v>
      </c>
      <c r="AI43" s="46">
        <v>1.0463242698892246</v>
      </c>
      <c r="AJ43" s="46">
        <v>0.9352030947775628</v>
      </c>
      <c r="AK43" s="46">
        <v>0.91076624636275472</v>
      </c>
      <c r="AM43" s="48">
        <v>1.1645631067961166</v>
      </c>
      <c r="AN43" s="48">
        <v>1.2855517633674629</v>
      </c>
      <c r="AO43" s="2">
        <v>487.7</v>
      </c>
      <c r="AP43">
        <f t="shared" si="20"/>
        <v>0.98485460420032311</v>
      </c>
      <c r="AQ43" s="27">
        <f t="shared" si="21"/>
        <v>1.1411988461185667E-2</v>
      </c>
      <c r="AR43" s="52">
        <v>239.9</v>
      </c>
      <c r="AS43" s="52">
        <v>1.164563107</v>
      </c>
    </row>
    <row r="44" spans="1:45" ht="14.4" x14ac:dyDescent="0.3">
      <c r="A44" s="5">
        <v>43252</v>
      </c>
      <c r="B44">
        <v>1.023429179978701</v>
      </c>
      <c r="C44">
        <v>1.039106145251397</v>
      </c>
      <c r="D44">
        <v>1.018085106382979</v>
      </c>
      <c r="E44">
        <v>1.023595505617978</v>
      </c>
      <c r="F44" s="25">
        <f t="shared" si="7"/>
        <v>1.0959385713721082</v>
      </c>
      <c r="G44" s="25">
        <f t="shared" si="8"/>
        <v>1.109434630525505</v>
      </c>
      <c r="H44" s="25">
        <f t="shared" si="9"/>
        <v>1.126042929241567</v>
      </c>
      <c r="I44" s="25">
        <f t="shared" si="10"/>
        <v>1.0856748482991201</v>
      </c>
      <c r="J44" s="25">
        <f t="shared" si="11"/>
        <v>1.0623915644542286</v>
      </c>
      <c r="K44" s="25">
        <f t="shared" si="12"/>
        <v>1.1670169304280893</v>
      </c>
      <c r="L44" s="25">
        <f t="shared" si="13"/>
        <v>1.2260773215320397</v>
      </c>
      <c r="M44" s="2">
        <v>103.7</v>
      </c>
      <c r="N44" s="27">
        <v>1.0166666666666666</v>
      </c>
      <c r="O44" s="26">
        <v>1.035714285714286</v>
      </c>
      <c r="P44">
        <v>1.060570071258907</v>
      </c>
      <c r="Q44" s="2">
        <v>159</v>
      </c>
      <c r="R44" s="2">
        <f t="shared" si="15"/>
        <v>1.0838445807770962</v>
      </c>
      <c r="S44" s="2">
        <v>155.30000000000001</v>
      </c>
      <c r="T44" s="2">
        <f t="shared" si="16"/>
        <v>1.0401875418620228</v>
      </c>
      <c r="U44" s="2">
        <v>1689.80398236514</v>
      </c>
      <c r="V44" s="2">
        <f t="shared" si="17"/>
        <v>1.8651300903264103</v>
      </c>
      <c r="W44">
        <v>1.009493670886076</v>
      </c>
      <c r="X44" s="2">
        <v>106</v>
      </c>
      <c r="Y44" s="2">
        <f t="shared" si="18"/>
        <v>1.0231660231660231</v>
      </c>
      <c r="Z44">
        <v>1164.75</v>
      </c>
      <c r="AA44" s="2">
        <f t="shared" si="22"/>
        <v>0.85267203513909229</v>
      </c>
      <c r="AB44" s="2">
        <v>106</v>
      </c>
      <c r="AC44" s="2">
        <f t="shared" si="23"/>
        <v>1.0231660231660231</v>
      </c>
      <c r="AD44">
        <v>1.023595505617978</v>
      </c>
      <c r="AE44" s="2">
        <v>76.5</v>
      </c>
      <c r="AF44" s="27">
        <f t="shared" si="24"/>
        <v>0.88644264194669764</v>
      </c>
      <c r="AG44" s="46">
        <v>0.92487804878048774</v>
      </c>
      <c r="AH44" s="46">
        <v>1.1388329979879275</v>
      </c>
      <c r="AI44" s="46">
        <v>1.0664652567975832</v>
      </c>
      <c r="AJ44" s="46">
        <v>0.93036750483558994</v>
      </c>
      <c r="AK44" s="46">
        <v>0.90785645004849658</v>
      </c>
      <c r="AM44" s="48">
        <v>1.1800970873786407</v>
      </c>
      <c r="AN44" s="48">
        <v>1.3361774744027304</v>
      </c>
      <c r="AO44" s="2">
        <v>482.1</v>
      </c>
      <c r="AP44">
        <f t="shared" si="20"/>
        <v>0.98851753126922293</v>
      </c>
      <c r="AQ44" s="27">
        <f t="shared" si="21"/>
        <v>1.1454432575541401E-2</v>
      </c>
      <c r="AR44" s="52">
        <v>243.1</v>
      </c>
      <c r="AS44" s="52">
        <v>1.180097087</v>
      </c>
    </row>
    <row r="45" spans="1:45" ht="14.4" x14ac:dyDescent="0.3">
      <c r="A45" s="5">
        <v>43282</v>
      </c>
      <c r="B45">
        <v>1.02555910543131</v>
      </c>
      <c r="C45">
        <v>1.041340782122905</v>
      </c>
      <c r="D45">
        <v>1.021276595744681</v>
      </c>
      <c r="E45">
        <v>1.0258426966292129</v>
      </c>
      <c r="F45" s="25">
        <f t="shared" si="7"/>
        <v>1.0867945783040738</v>
      </c>
      <c r="G45" s="25">
        <f t="shared" si="8"/>
        <v>1.0945694986054622</v>
      </c>
      <c r="H45" s="25">
        <f t="shared" si="9"/>
        <v>1.1114507172051171</v>
      </c>
      <c r="I45" s="25">
        <f t="shared" si="10"/>
        <v>1.0846708885440961</v>
      </c>
      <c r="J45" s="25">
        <f t="shared" si="11"/>
        <v>1.0693746094410852</v>
      </c>
      <c r="K45" s="25">
        <f t="shared" si="12"/>
        <v>1.1622120878979323</v>
      </c>
      <c r="L45" s="25">
        <f t="shared" si="13"/>
        <v>1.2283146063864359</v>
      </c>
      <c r="M45" s="2">
        <v>105.1</v>
      </c>
      <c r="N45" s="27">
        <v>1.030392156862745</v>
      </c>
      <c r="O45" s="26">
        <v>1.036830357142857</v>
      </c>
      <c r="P45">
        <v>1.0641330166270779</v>
      </c>
      <c r="Q45" s="2">
        <v>162.80000000000001</v>
      </c>
      <c r="R45" s="2">
        <f t="shared" si="15"/>
        <v>1.1097477845944106</v>
      </c>
      <c r="S45" s="2">
        <v>153.30000000000001</v>
      </c>
      <c r="T45" s="2">
        <f t="shared" si="16"/>
        <v>1.0267916945746818</v>
      </c>
      <c r="U45" s="2">
        <v>1670.6404</v>
      </c>
      <c r="V45" s="2">
        <f t="shared" si="17"/>
        <v>1.843978184850579</v>
      </c>
      <c r="W45">
        <v>1.0116033755274261</v>
      </c>
      <c r="X45" s="2">
        <v>105.3</v>
      </c>
      <c r="Y45" s="2">
        <f t="shared" si="18"/>
        <v>1.0164092664092665</v>
      </c>
      <c r="Z45">
        <v>1162.4000000000001</v>
      </c>
      <c r="AA45" s="2">
        <f t="shared" si="22"/>
        <v>0.85095168374816987</v>
      </c>
      <c r="AB45" s="2">
        <v>105.3</v>
      </c>
      <c r="AC45" s="2">
        <f t="shared" si="23"/>
        <v>1.0164092664092665</v>
      </c>
      <c r="AD45">
        <v>1.0258426966292129</v>
      </c>
      <c r="AE45" s="2">
        <v>76.099999999999994</v>
      </c>
      <c r="AF45" s="27">
        <f t="shared" si="24"/>
        <v>0.88180764774044029</v>
      </c>
      <c r="AG45" s="46">
        <v>0.91121951219512198</v>
      </c>
      <c r="AH45" s="46">
        <v>1.1408450704225352</v>
      </c>
      <c r="AI45" s="46">
        <v>0.97885196374622363</v>
      </c>
      <c r="AJ45" s="46">
        <v>0.92069632495164411</v>
      </c>
      <c r="AK45" s="46">
        <v>0.90203685741998063</v>
      </c>
      <c r="AM45" s="48">
        <v>1.1621359223300971</v>
      </c>
      <c r="AN45" s="48">
        <v>1.2878270762229806</v>
      </c>
      <c r="AO45" s="2">
        <v>473.5</v>
      </c>
      <c r="AP45">
        <f t="shared" si="20"/>
        <v>0.98216137730761244</v>
      </c>
      <c r="AQ45" s="27">
        <f t="shared" si="21"/>
        <v>1.1380780733576042E-2</v>
      </c>
      <c r="AR45" s="52">
        <v>239.4</v>
      </c>
      <c r="AS45" s="52">
        <v>1.162135922</v>
      </c>
    </row>
    <row r="46" spans="1:45" ht="14.4" x14ac:dyDescent="0.3">
      <c r="A46" s="5">
        <v>43313</v>
      </c>
      <c r="B46">
        <v>1.0276890308839191</v>
      </c>
      <c r="C46">
        <v>1.041340782122905</v>
      </c>
      <c r="D46">
        <v>1.024468085106383</v>
      </c>
      <c r="E46">
        <v>1.024719101123595</v>
      </c>
      <c r="F46" s="25">
        <f t="shared" si="7"/>
        <v>1.0776505852360394</v>
      </c>
      <c r="G46" s="25">
        <f t="shared" si="8"/>
        <v>1.0797043666854196</v>
      </c>
      <c r="H46" s="25">
        <f t="shared" si="9"/>
        <v>1.096858505168667</v>
      </c>
      <c r="I46" s="25">
        <f t="shared" si="10"/>
        <v>1.0836669287890723</v>
      </c>
      <c r="J46" s="25">
        <f t="shared" si="11"/>
        <v>1.0763576544279418</v>
      </c>
      <c r="K46" s="25">
        <f t="shared" si="12"/>
        <v>1.1574072453677751</v>
      </c>
      <c r="L46" s="25">
        <f t="shared" si="13"/>
        <v>1.230551891240832</v>
      </c>
      <c r="M46" s="2">
        <v>105.8</v>
      </c>
      <c r="N46" s="27">
        <v>1.0372549019607842</v>
      </c>
      <c r="O46" s="26">
        <v>1.027901785714286</v>
      </c>
      <c r="P46">
        <v>1.0653206650831351</v>
      </c>
      <c r="Q46" s="2">
        <v>162.80000000000001</v>
      </c>
      <c r="R46" s="2">
        <f t="shared" si="15"/>
        <v>1.1097477845944106</v>
      </c>
      <c r="S46" s="2">
        <v>153.4</v>
      </c>
      <c r="T46" s="2">
        <f t="shared" si="16"/>
        <v>1.0274614869390488</v>
      </c>
      <c r="U46" s="2">
        <v>1631.1429478192399</v>
      </c>
      <c r="V46" s="2">
        <f t="shared" si="17"/>
        <v>1.800382662930661</v>
      </c>
      <c r="W46">
        <v>1.0147679324894521</v>
      </c>
      <c r="X46" s="2">
        <v>105.3</v>
      </c>
      <c r="Y46" s="2">
        <f t="shared" si="18"/>
        <v>1.0164092664092665</v>
      </c>
      <c r="Z46">
        <v>1138.25</v>
      </c>
      <c r="AA46" s="2">
        <f t="shared" si="22"/>
        <v>0.83327232796486095</v>
      </c>
      <c r="AB46" s="2">
        <v>105.3</v>
      </c>
      <c r="AC46" s="2">
        <f t="shared" si="23"/>
        <v>1.0164092664092665</v>
      </c>
      <c r="AD46">
        <v>1.024719101123595</v>
      </c>
      <c r="AE46" s="2">
        <v>77.099999999999994</v>
      </c>
      <c r="AF46" s="27">
        <f t="shared" si="24"/>
        <v>0.89339513325608344</v>
      </c>
      <c r="AG46" s="46">
        <v>0.90731707317073174</v>
      </c>
      <c r="AH46" s="46">
        <v>1.1056338028169015</v>
      </c>
      <c r="AI46" s="46">
        <v>1.0251762336354482</v>
      </c>
      <c r="AJ46" s="46">
        <v>0.91295938104448748</v>
      </c>
      <c r="AK46" s="46">
        <v>0.89815712900096989</v>
      </c>
      <c r="AM46" s="48">
        <v>1.1189320388349515</v>
      </c>
      <c r="AN46" s="48">
        <v>1.1592718998862344</v>
      </c>
      <c r="AO46" s="2">
        <v>449.1</v>
      </c>
      <c r="AP46">
        <f t="shared" si="20"/>
        <v>0.94846884899683215</v>
      </c>
      <c r="AQ46" s="27">
        <f t="shared" si="21"/>
        <v>1.0990369049789481E-2</v>
      </c>
      <c r="AR46" s="52">
        <v>230.5</v>
      </c>
      <c r="AS46" s="52">
        <v>1.1189320389999999</v>
      </c>
    </row>
    <row r="47" spans="1:45" ht="14.4" x14ac:dyDescent="0.3">
      <c r="A47" s="5">
        <v>43344</v>
      </c>
      <c r="B47">
        <v>1.0276890308839191</v>
      </c>
      <c r="C47">
        <v>1.0424581005586591</v>
      </c>
      <c r="D47">
        <v>1.0265957446808509</v>
      </c>
      <c r="E47">
        <v>1.0258426966292129</v>
      </c>
      <c r="F47" s="25">
        <f t="shared" si="7"/>
        <v>1.068506592168005</v>
      </c>
      <c r="G47" s="25">
        <f t="shared" si="8"/>
        <v>1.0648392347653768</v>
      </c>
      <c r="H47" s="25">
        <f t="shared" si="9"/>
        <v>1.0822662931322169</v>
      </c>
      <c r="I47" s="25">
        <f t="shared" si="10"/>
        <v>1.0826629690340486</v>
      </c>
      <c r="J47" s="25">
        <f t="shared" si="11"/>
        <v>1.0833406994147985</v>
      </c>
      <c r="K47" s="25">
        <f t="shared" si="12"/>
        <v>1.1526024028376178</v>
      </c>
      <c r="L47" s="25">
        <f t="shared" si="13"/>
        <v>1.2327891760952279</v>
      </c>
      <c r="M47" s="2">
        <v>105.3</v>
      </c>
      <c r="N47" s="27">
        <v>1.0323529411764705</v>
      </c>
      <c r="O47" s="26">
        <v>1.024553571428571</v>
      </c>
      <c r="P47">
        <v>1.06769596199525</v>
      </c>
      <c r="Q47" s="2">
        <v>162.80000000000001</v>
      </c>
      <c r="R47" s="2">
        <f t="shared" si="15"/>
        <v>1.1097477845944106</v>
      </c>
      <c r="S47" s="2">
        <v>155.30000000000001</v>
      </c>
      <c r="T47" s="2">
        <f t="shared" si="16"/>
        <v>1.0401875418620228</v>
      </c>
      <c r="U47" s="2">
        <v>1598.0866125</v>
      </c>
      <c r="V47" s="2">
        <f t="shared" si="17"/>
        <v>1.763896557841987</v>
      </c>
      <c r="W47">
        <v>1.0137130801687759</v>
      </c>
      <c r="X47" s="2">
        <v>104.1</v>
      </c>
      <c r="Y47" s="2">
        <f t="shared" si="18"/>
        <v>1.0048262548262548</v>
      </c>
      <c r="Z47">
        <v>1121</v>
      </c>
      <c r="AA47" s="2">
        <f t="shared" si="22"/>
        <v>0.8206442166910688</v>
      </c>
      <c r="AB47" s="2">
        <v>104.1</v>
      </c>
      <c r="AC47" s="2">
        <f t="shared" si="23"/>
        <v>1.0048262548262548</v>
      </c>
      <c r="AD47">
        <v>1.0258426966292129</v>
      </c>
      <c r="AE47" s="2">
        <v>76.599999999999994</v>
      </c>
      <c r="AF47" s="27">
        <f t="shared" si="24"/>
        <v>0.88760139049826181</v>
      </c>
      <c r="AG47" s="46">
        <v>0.89951219512195124</v>
      </c>
      <c r="AH47" s="46">
        <v>1.1086519114688129</v>
      </c>
      <c r="AI47" s="46">
        <v>1.0916414904330314</v>
      </c>
      <c r="AJ47" s="46">
        <v>0.8916827852998066</v>
      </c>
      <c r="AK47" s="46">
        <v>0.88360814742967997</v>
      </c>
      <c r="AM47" s="48">
        <v>1.1169902912621359</v>
      </c>
      <c r="AN47" s="48">
        <v>1.1717861205915812</v>
      </c>
      <c r="AO47" s="2">
        <v>430.1</v>
      </c>
      <c r="AP47">
        <f t="shared" si="20"/>
        <v>0.95769316410598981</v>
      </c>
      <c r="AQ47" s="27">
        <f t="shared" si="21"/>
        <v>1.1097255667508573E-2</v>
      </c>
      <c r="AR47" s="52">
        <v>230.1</v>
      </c>
      <c r="AS47" s="52">
        <v>1.116990291</v>
      </c>
    </row>
    <row r="48" spans="1:45" ht="14.4" x14ac:dyDescent="0.3">
      <c r="A48" s="5">
        <v>43374</v>
      </c>
      <c r="B48">
        <v>1.0308839190628329</v>
      </c>
      <c r="C48">
        <v>1.043575418994414</v>
      </c>
      <c r="D48">
        <v>1.0265957446808509</v>
      </c>
      <c r="E48">
        <v>1.028089887640449</v>
      </c>
      <c r="F48" s="25">
        <f t="shared" si="7"/>
        <v>1.0593625990999707</v>
      </c>
      <c r="G48" s="25">
        <f t="shared" si="8"/>
        <v>1.049974102845334</v>
      </c>
      <c r="H48" s="25">
        <f t="shared" si="9"/>
        <v>1.067674081095767</v>
      </c>
      <c r="I48" s="25">
        <f t="shared" si="10"/>
        <v>1.0816590092790248</v>
      </c>
      <c r="J48" s="25">
        <f t="shared" si="11"/>
        <v>1.0903237444016551</v>
      </c>
      <c r="K48" s="25">
        <f t="shared" si="12"/>
        <v>1.1477975603074606</v>
      </c>
      <c r="L48" s="25">
        <f t="shared" si="13"/>
        <v>1.2350264609496238</v>
      </c>
      <c r="M48" s="2">
        <v>106.2</v>
      </c>
      <c r="N48" s="27">
        <v>1.0411764705882354</v>
      </c>
      <c r="O48" s="26">
        <v>1.018973214285714</v>
      </c>
      <c r="P48">
        <v>1.068883610451306</v>
      </c>
      <c r="Q48" s="2">
        <v>162.80000000000001</v>
      </c>
      <c r="R48" s="2">
        <f t="shared" si="15"/>
        <v>1.1097477845944106</v>
      </c>
      <c r="S48" s="2">
        <v>157.1</v>
      </c>
      <c r="T48" s="2">
        <f t="shared" si="16"/>
        <v>1.0522438044206295</v>
      </c>
      <c r="U48" s="2">
        <v>1528.7933387016001</v>
      </c>
      <c r="V48" s="2">
        <f t="shared" si="17"/>
        <v>1.6874137400907059</v>
      </c>
      <c r="W48">
        <v>1.0168776371308019</v>
      </c>
      <c r="X48" s="2">
        <v>105.2</v>
      </c>
      <c r="Y48" s="2">
        <f t="shared" si="18"/>
        <v>1.0154440154440156</v>
      </c>
      <c r="Z48">
        <v>1117.8</v>
      </c>
      <c r="AA48" s="2">
        <f t="shared" si="22"/>
        <v>0.81830161054172768</v>
      </c>
      <c r="AB48" s="2">
        <v>105.2</v>
      </c>
      <c r="AC48" s="2">
        <f t="shared" si="23"/>
        <v>1.0154440154440156</v>
      </c>
      <c r="AD48">
        <v>1.028089887640449</v>
      </c>
      <c r="AE48" s="2">
        <v>74.8</v>
      </c>
      <c r="AF48" s="27">
        <f t="shared" si="24"/>
        <v>0.8667439165701043</v>
      </c>
      <c r="AG48" s="46">
        <v>0.88487804878048781</v>
      </c>
      <c r="AH48" s="46">
        <v>1.1438631790744467</v>
      </c>
      <c r="AI48" s="46">
        <v>1.0906344410876132</v>
      </c>
      <c r="AJ48" s="46">
        <v>0.86750483558994196</v>
      </c>
      <c r="AK48" s="46">
        <v>0.86129970902036856</v>
      </c>
      <c r="AM48" s="48">
        <v>1.1116504854368932</v>
      </c>
      <c r="AN48" s="48">
        <v>1.1268486916951079</v>
      </c>
      <c r="AO48" s="2">
        <v>436.1</v>
      </c>
      <c r="AP48">
        <f t="shared" si="20"/>
        <v>1.0139502441292723</v>
      </c>
      <c r="AQ48" s="27">
        <f t="shared" si="21"/>
        <v>1.1749133767430734E-2</v>
      </c>
      <c r="AR48" s="52">
        <v>229</v>
      </c>
      <c r="AS48" s="52">
        <v>1.111650485</v>
      </c>
    </row>
    <row r="49" spans="1:45" ht="14.4" x14ac:dyDescent="0.3">
      <c r="A49" s="5">
        <v>43405</v>
      </c>
      <c r="B49">
        <v>1.0319488817891369</v>
      </c>
      <c r="C49">
        <v>1.044692737430168</v>
      </c>
      <c r="D49">
        <v>1.0287234042553191</v>
      </c>
      <c r="E49">
        <v>1.026966292134831</v>
      </c>
      <c r="F49" s="25">
        <f t="shared" si="7"/>
        <v>1.0502186060319363</v>
      </c>
      <c r="G49" s="25">
        <f t="shared" si="8"/>
        <v>1.0351089709252912</v>
      </c>
      <c r="H49" s="25">
        <f t="shared" si="9"/>
        <v>1.0530818690593169</v>
      </c>
      <c r="I49" s="25">
        <f t="shared" si="10"/>
        <v>1.080655049524001</v>
      </c>
      <c r="J49" s="25">
        <f t="shared" si="11"/>
        <v>1.097306789388512</v>
      </c>
      <c r="K49" s="25">
        <f t="shared" si="12"/>
        <v>1.1429927177773034</v>
      </c>
      <c r="L49" s="25">
        <f t="shared" si="13"/>
        <v>1.2372637458040199</v>
      </c>
      <c r="M49" s="2">
        <v>104.9</v>
      </c>
      <c r="N49" s="27">
        <v>1.0284313725490197</v>
      </c>
      <c r="O49" s="26">
        <v>1.015625</v>
      </c>
      <c r="P49">
        <v>1.066508313539192</v>
      </c>
      <c r="Q49" s="2">
        <v>162.80000000000001</v>
      </c>
      <c r="R49" s="2">
        <f t="shared" si="15"/>
        <v>1.1097477845944106</v>
      </c>
      <c r="S49" s="2">
        <v>156.30000000000001</v>
      </c>
      <c r="T49" s="2">
        <f t="shared" si="16"/>
        <v>1.0468854655056932</v>
      </c>
      <c r="U49" s="2">
        <v>1501.8836884548</v>
      </c>
      <c r="V49" s="2">
        <f t="shared" si="17"/>
        <v>1.6577120711875364</v>
      </c>
      <c r="W49">
        <v>1.0147679324894521</v>
      </c>
      <c r="X49" s="2">
        <v>105.2</v>
      </c>
      <c r="Y49" s="2">
        <f t="shared" si="18"/>
        <v>1.0154440154440156</v>
      </c>
      <c r="Z49">
        <v>1117.5</v>
      </c>
      <c r="AA49" s="2">
        <f t="shared" si="22"/>
        <v>0.81808199121522696</v>
      </c>
      <c r="AB49" s="2">
        <v>105.2</v>
      </c>
      <c r="AC49" s="2">
        <f t="shared" si="23"/>
        <v>1.0154440154440156</v>
      </c>
      <c r="AD49">
        <v>1.026966292134831</v>
      </c>
      <c r="AE49" s="2">
        <v>70.8</v>
      </c>
      <c r="AF49" s="27">
        <f t="shared" si="24"/>
        <v>0.82039397450753182</v>
      </c>
      <c r="AG49" s="46">
        <v>0.87804878048780488</v>
      </c>
      <c r="AH49" s="46">
        <v>1.1649899396378269</v>
      </c>
      <c r="AI49" s="46">
        <v>1.0976837865055389</v>
      </c>
      <c r="AJ49" s="46">
        <v>0.84235976789168265</v>
      </c>
      <c r="AK49" s="46">
        <v>0.86808923375363733</v>
      </c>
      <c r="AM49" s="48">
        <v>1.0553398058252428</v>
      </c>
      <c r="AN49" s="48">
        <v>1.0853242320819112</v>
      </c>
      <c r="AO49" s="2">
        <v>452.4</v>
      </c>
      <c r="AP49">
        <f t="shared" si="20"/>
        <v>1.0373767484521899</v>
      </c>
      <c r="AQ49" s="27">
        <f t="shared" si="21"/>
        <v>1.2020588046954692E-2</v>
      </c>
      <c r="AR49" s="52">
        <v>217.4</v>
      </c>
      <c r="AS49" s="52">
        <v>1.0553398060000001</v>
      </c>
    </row>
    <row r="50" spans="1:45" ht="14.4" x14ac:dyDescent="0.3">
      <c r="A50" s="5">
        <v>43435</v>
      </c>
      <c r="B50">
        <v>1.0340788072417459</v>
      </c>
      <c r="C50">
        <v>1.044692737430168</v>
      </c>
      <c r="D50">
        <v>1.0297872340425529</v>
      </c>
      <c r="E50">
        <v>1.026966292134831</v>
      </c>
      <c r="F50" s="25">
        <f t="shared" si="7"/>
        <v>1.0410746129639019</v>
      </c>
      <c r="G50" s="25">
        <f t="shared" si="8"/>
        <v>1.0202438390052484</v>
      </c>
      <c r="H50" s="25">
        <f t="shared" si="9"/>
        <v>1.038489657022867</v>
      </c>
      <c r="I50" s="25">
        <f t="shared" si="10"/>
        <v>1.0796510897689771</v>
      </c>
      <c r="J50" s="25">
        <f t="shared" si="11"/>
        <v>1.1042898343753687</v>
      </c>
      <c r="K50" s="25">
        <f t="shared" si="12"/>
        <v>1.1381878752471462</v>
      </c>
      <c r="L50" s="25">
        <f t="shared" si="13"/>
        <v>1.239501030658416</v>
      </c>
      <c r="M50" s="2">
        <v>102.5</v>
      </c>
      <c r="N50" s="27">
        <v>1.0049019607843137</v>
      </c>
      <c r="O50" s="26">
        <v>1.0089285714285721</v>
      </c>
      <c r="P50">
        <v>1.052256532066508</v>
      </c>
      <c r="Q50" s="2">
        <v>162.80000000000001</v>
      </c>
      <c r="R50" s="2">
        <f t="shared" si="15"/>
        <v>1.1097477845944106</v>
      </c>
      <c r="S50" s="2">
        <v>156.30000000000001</v>
      </c>
      <c r="T50" s="2">
        <f t="shared" si="16"/>
        <v>1.0468854655056932</v>
      </c>
      <c r="U50" s="2">
        <v>1508.8610361078499</v>
      </c>
      <c r="V50" s="2">
        <f t="shared" si="17"/>
        <v>1.6654133555934101</v>
      </c>
      <c r="W50">
        <v>1.0147679324894521</v>
      </c>
      <c r="X50" s="2">
        <v>101.9</v>
      </c>
      <c r="Y50" s="2">
        <f t="shared" si="18"/>
        <v>0.98359073359073368</v>
      </c>
      <c r="Z50">
        <v>1069</v>
      </c>
      <c r="AA50" s="2">
        <f t="shared" si="22"/>
        <v>0.78257686676427529</v>
      </c>
      <c r="AB50" s="2">
        <v>101.9</v>
      </c>
      <c r="AC50" s="2">
        <f t="shared" si="23"/>
        <v>0.98359073359073368</v>
      </c>
      <c r="AD50">
        <v>1.026966292134831</v>
      </c>
      <c r="AE50" s="2">
        <v>73</v>
      </c>
      <c r="AF50" s="27">
        <f t="shared" si="24"/>
        <v>0.84588644264194668</v>
      </c>
      <c r="AG50" s="46">
        <v>0.86146341463414633</v>
      </c>
      <c r="AH50" s="46">
        <v>1.2062374245472838</v>
      </c>
      <c r="AI50" s="46">
        <v>1.0523665659617321</v>
      </c>
      <c r="AJ50" s="46">
        <v>0.82978723404255317</v>
      </c>
      <c r="AK50" s="46">
        <v>0.82444228903976724</v>
      </c>
      <c r="AM50" s="48">
        <v>1.0315533980582525</v>
      </c>
      <c r="AN50" s="48">
        <v>1.064277588168373</v>
      </c>
      <c r="AO50" s="2">
        <v>453</v>
      </c>
      <c r="AP50">
        <f t="shared" si="20"/>
        <v>1.0013262599469497</v>
      </c>
      <c r="AQ50" s="27">
        <f t="shared" si="21"/>
        <v>1.1602853533568363E-2</v>
      </c>
      <c r="AR50" s="52">
        <v>212.5</v>
      </c>
      <c r="AS50" s="52">
        <v>1.031553398</v>
      </c>
    </row>
    <row r="51" spans="1:45" ht="14.4" x14ac:dyDescent="0.3">
      <c r="A51" s="5">
        <v>43466</v>
      </c>
      <c r="B51">
        <v>1.0362087326943561</v>
      </c>
      <c r="C51">
        <v>1.0480446927374301</v>
      </c>
      <c r="D51">
        <v>1.030851063829787</v>
      </c>
      <c r="E51">
        <v>1.024719101123595</v>
      </c>
      <c r="F51" s="25">
        <f t="shared" si="7"/>
        <v>1.0319306198958675</v>
      </c>
      <c r="G51" s="25">
        <f t="shared" si="8"/>
        <v>1.0053787070852056</v>
      </c>
      <c r="H51" s="25">
        <f t="shared" si="9"/>
        <v>1.0238974449864169</v>
      </c>
      <c r="I51" s="25">
        <f t="shared" si="10"/>
        <v>1.0786471300139533</v>
      </c>
      <c r="J51" s="25">
        <f t="shared" si="11"/>
        <v>1.1112728793622253</v>
      </c>
      <c r="K51" s="25">
        <f t="shared" si="12"/>
        <v>1.1333830327169889</v>
      </c>
      <c r="L51" s="25">
        <f t="shared" si="13"/>
        <v>1.2417383155128119</v>
      </c>
      <c r="M51" s="2">
        <v>99.9</v>
      </c>
      <c r="N51" s="27">
        <v>0.97941176470588243</v>
      </c>
      <c r="O51" s="26">
        <v>1.005580357142857</v>
      </c>
      <c r="P51">
        <v>1.0439429928741091</v>
      </c>
      <c r="Q51" s="2">
        <v>162.6</v>
      </c>
      <c r="R51" s="2">
        <f t="shared" si="15"/>
        <v>1.1083844580777096</v>
      </c>
      <c r="S51" s="2">
        <v>156.30000000000001</v>
      </c>
      <c r="T51" s="2">
        <f t="shared" si="16"/>
        <v>1.0468854655056932</v>
      </c>
      <c r="U51" s="2">
        <v>1554.1314663610499</v>
      </c>
      <c r="V51" s="2">
        <f t="shared" si="17"/>
        <v>1.7153808326194058</v>
      </c>
      <c r="W51">
        <v>1.0147679324894521</v>
      </c>
      <c r="X51" s="2">
        <v>101.5</v>
      </c>
      <c r="Y51" s="2">
        <f t="shared" si="18"/>
        <v>0.97972972972972983</v>
      </c>
      <c r="Z51">
        <v>1031.25</v>
      </c>
      <c r="AA51" s="2">
        <f t="shared" si="22"/>
        <v>0.75494143484626652</v>
      </c>
      <c r="AB51" s="2">
        <v>101.5</v>
      </c>
      <c r="AC51" s="2">
        <f t="shared" si="23"/>
        <v>0.97972972972972983</v>
      </c>
      <c r="AD51">
        <v>1.024719101123595</v>
      </c>
      <c r="AE51" s="2">
        <v>74</v>
      </c>
      <c r="AF51" s="27">
        <f t="shared" si="24"/>
        <v>0.85747392815758983</v>
      </c>
      <c r="AG51" s="46">
        <v>0.86048780487804877</v>
      </c>
      <c r="AH51" s="46">
        <v>1.2102615694164989</v>
      </c>
      <c r="AI51" s="46">
        <v>1.0553877139979859</v>
      </c>
      <c r="AJ51" s="46">
        <v>0.82785299806576396</v>
      </c>
      <c r="AK51" s="46">
        <v>0.83026188166828319</v>
      </c>
      <c r="AM51" s="48">
        <v>1.0286407766990291</v>
      </c>
      <c r="AN51" s="48">
        <v>1.0574516496018203</v>
      </c>
      <c r="AO51" s="2">
        <v>417.9</v>
      </c>
      <c r="AP51">
        <f t="shared" si="20"/>
        <v>0.92251655629139073</v>
      </c>
      <c r="AQ51" s="27">
        <f t="shared" si="21"/>
        <v>1.0689647233967448E-2</v>
      </c>
      <c r="AR51" s="55">
        <v>211.9</v>
      </c>
      <c r="AS51" s="55">
        <v>1.0286407769999999</v>
      </c>
    </row>
    <row r="52" spans="1:45" ht="14.4" x14ac:dyDescent="0.3">
      <c r="A52" s="5">
        <v>43497</v>
      </c>
      <c r="B52">
        <v>1.0383386581469649</v>
      </c>
      <c r="C52">
        <v>1.050279329608939</v>
      </c>
      <c r="D52">
        <v>1.030851063829787</v>
      </c>
      <c r="E52">
        <v>1.023595505617978</v>
      </c>
      <c r="F52" s="25">
        <f t="shared" si="7"/>
        <v>1.0309742042916117</v>
      </c>
      <c r="G52" s="25">
        <f t="shared" si="8"/>
        <v>1.0046334882024879</v>
      </c>
      <c r="H52" s="25">
        <f t="shared" si="9"/>
        <v>1.0241130260836744</v>
      </c>
      <c r="I52" s="25">
        <f t="shared" si="10"/>
        <v>1.0776465490653486</v>
      </c>
      <c r="J52" s="25">
        <f t="shared" si="11"/>
        <v>1.1070244164197061</v>
      </c>
      <c r="K52" s="25">
        <f t="shared" si="12"/>
        <v>1.133104896755631</v>
      </c>
      <c r="L52" s="25">
        <f t="shared" si="13"/>
        <v>1.2451803204671261</v>
      </c>
      <c r="M52" s="2">
        <v>99.7</v>
      </c>
      <c r="N52" s="27">
        <v>0.97745098039215694</v>
      </c>
      <c r="O52" s="26">
        <v>1</v>
      </c>
      <c r="P52">
        <v>1.039192399049881</v>
      </c>
      <c r="Q52" s="2">
        <v>162.80000000000001</v>
      </c>
      <c r="R52" s="2">
        <f t="shared" si="15"/>
        <v>1.1097477845944106</v>
      </c>
      <c r="S52" s="2">
        <v>156.30000000000001</v>
      </c>
      <c r="T52" s="2">
        <f t="shared" si="16"/>
        <v>1.0468854655056932</v>
      </c>
      <c r="U52" s="2">
        <v>1617.800140093</v>
      </c>
      <c r="V52" s="2">
        <f t="shared" si="17"/>
        <v>1.7856554682741435</v>
      </c>
      <c r="W52">
        <v>1.0126582278481009</v>
      </c>
      <c r="X52" s="2">
        <v>101.5</v>
      </c>
      <c r="Y52" s="2">
        <f t="shared" si="18"/>
        <v>0.97972972972972983</v>
      </c>
      <c r="Z52">
        <v>998</v>
      </c>
      <c r="AA52" s="2">
        <f t="shared" si="22"/>
        <v>0.73060029282576866</v>
      </c>
      <c r="AB52" s="2">
        <v>101.5</v>
      </c>
      <c r="AC52" s="2">
        <f t="shared" si="23"/>
        <v>0.97972972972972983</v>
      </c>
      <c r="AD52">
        <v>1.023595505617978</v>
      </c>
      <c r="AE52" s="2">
        <v>75</v>
      </c>
      <c r="AF52" s="27">
        <f t="shared" si="24"/>
        <v>0.86906141367323297</v>
      </c>
      <c r="AG52" s="46">
        <v>0.86536585365853658</v>
      </c>
      <c r="AH52" s="46">
        <v>1.2635814889336014</v>
      </c>
      <c r="AI52" s="46">
        <v>1.0574018126888218</v>
      </c>
      <c r="AJ52" s="46">
        <v>0.82398452611218564</v>
      </c>
      <c r="AK52" s="46">
        <v>0.84578079534432593</v>
      </c>
      <c r="AM52" s="48">
        <v>1.0330097087378642</v>
      </c>
      <c r="AN52" s="48">
        <v>1.0858930602957906</v>
      </c>
      <c r="AO52" s="2">
        <v>410.7</v>
      </c>
      <c r="AP52">
        <f t="shared" si="20"/>
        <v>0.98277099784637478</v>
      </c>
      <c r="AQ52" s="27">
        <f t="shared" si="21"/>
        <v>1.138784470273899E-2</v>
      </c>
      <c r="AR52" s="52">
        <v>212.8</v>
      </c>
      <c r="AS52" s="52">
        <v>1.0330097090000001</v>
      </c>
    </row>
    <row r="53" spans="1:45" ht="14.4" x14ac:dyDescent="0.3">
      <c r="A53" s="5">
        <v>43525</v>
      </c>
      <c r="B53">
        <v>1.0383386581469649</v>
      </c>
      <c r="C53">
        <v>1.050279329608939</v>
      </c>
      <c r="D53">
        <v>1.030851063829787</v>
      </c>
      <c r="E53">
        <v>1.023595505617978</v>
      </c>
      <c r="F53" s="25">
        <f t="shared" si="7"/>
        <v>1.0300177886873558</v>
      </c>
      <c r="G53" s="25">
        <f t="shared" si="8"/>
        <v>1.0038882693197702</v>
      </c>
      <c r="H53" s="25">
        <f t="shared" si="9"/>
        <v>1.0243286071809319</v>
      </c>
      <c r="I53" s="25">
        <f t="shared" si="10"/>
        <v>1.0766459681167437</v>
      </c>
      <c r="J53" s="25">
        <f t="shared" si="11"/>
        <v>1.1027759534771868</v>
      </c>
      <c r="K53" s="25">
        <f t="shared" si="12"/>
        <v>1.1328267607942728</v>
      </c>
      <c r="L53" s="25">
        <f t="shared" si="13"/>
        <v>1.2486223254214401</v>
      </c>
      <c r="M53" s="2">
        <v>96.6</v>
      </c>
      <c r="N53" s="27">
        <v>0.94705882352941173</v>
      </c>
      <c r="O53" s="26">
        <v>0.9988839285714286</v>
      </c>
      <c r="P53">
        <v>1.042755344418052</v>
      </c>
      <c r="Q53" s="2">
        <v>163.19999999999999</v>
      </c>
      <c r="R53" s="2">
        <f t="shared" si="15"/>
        <v>1.112474437627812</v>
      </c>
      <c r="S53" s="2">
        <v>156.30000000000001</v>
      </c>
      <c r="T53" s="2">
        <f t="shared" si="16"/>
        <v>1.0468854655056932</v>
      </c>
      <c r="U53" s="2">
        <v>1586.00223478057</v>
      </c>
      <c r="V53" s="2">
        <f t="shared" si="17"/>
        <v>1.7505583619668463</v>
      </c>
      <c r="W53">
        <v>1.0126582278481009</v>
      </c>
      <c r="X53" s="2">
        <v>101.8</v>
      </c>
      <c r="Y53" s="2">
        <f t="shared" si="18"/>
        <v>0.98262548262548266</v>
      </c>
      <c r="Z53">
        <v>1030</v>
      </c>
      <c r="AA53" s="2">
        <f t="shared" si="22"/>
        <v>0.75402635431918008</v>
      </c>
      <c r="AB53" s="2">
        <v>101.8</v>
      </c>
      <c r="AC53" s="2">
        <f t="shared" si="23"/>
        <v>0.98262548262548266</v>
      </c>
      <c r="AD53">
        <v>1.023595505617978</v>
      </c>
      <c r="AE53" s="2">
        <v>74.2</v>
      </c>
      <c r="AF53" s="27">
        <f t="shared" si="24"/>
        <v>0.8597914252607185</v>
      </c>
      <c r="AG53" s="46">
        <v>0.85268292682926838</v>
      </c>
      <c r="AH53" s="46">
        <v>1.2303822937625755</v>
      </c>
      <c r="AI53" s="46">
        <v>1.0574018126888218</v>
      </c>
      <c r="AJ53" s="46">
        <v>0.80754352030947774</v>
      </c>
      <c r="AK53" s="46">
        <v>0.82735208535402527</v>
      </c>
      <c r="AM53" s="48">
        <v>1.0320388349514562</v>
      </c>
      <c r="AN53" s="48">
        <v>1.0955631399317405</v>
      </c>
      <c r="AO53" s="2">
        <v>433.9</v>
      </c>
      <c r="AP53">
        <f t="shared" si="20"/>
        <v>1.0564889213537862</v>
      </c>
      <c r="AQ53" s="27">
        <f t="shared" si="21"/>
        <v>1.2242050073624406E-2</v>
      </c>
      <c r="AR53" s="52">
        <v>212.6</v>
      </c>
      <c r="AS53" s="52">
        <v>1.032038835</v>
      </c>
    </row>
    <row r="54" spans="1:45" ht="14.4" x14ac:dyDescent="0.3">
      <c r="A54" s="5">
        <v>43556</v>
      </c>
      <c r="B54">
        <v>1.0404685835995739</v>
      </c>
      <c r="C54">
        <v>1.051396648044693</v>
      </c>
      <c r="D54">
        <v>1.0297872340425529</v>
      </c>
      <c r="E54">
        <v>1.026966292134831</v>
      </c>
      <c r="F54" s="25">
        <f t="shared" si="7"/>
        <v>1.0290613730831</v>
      </c>
      <c r="G54" s="25">
        <f t="shared" si="8"/>
        <v>1.0031430504370524</v>
      </c>
      <c r="H54" s="25">
        <f t="shared" si="9"/>
        <v>1.0245441882781892</v>
      </c>
      <c r="I54" s="25">
        <f t="shared" si="10"/>
        <v>1.0756453871681391</v>
      </c>
      <c r="J54" s="25">
        <f t="shared" si="11"/>
        <v>1.0985274905346676</v>
      </c>
      <c r="K54" s="25">
        <f t="shared" si="12"/>
        <v>1.1325486248329149</v>
      </c>
      <c r="L54" s="25">
        <f t="shared" si="13"/>
        <v>1.2520643303757544</v>
      </c>
      <c r="M54" s="2">
        <v>96.2</v>
      </c>
      <c r="N54" s="27">
        <v>0.94313725490196076</v>
      </c>
      <c r="O54" s="26">
        <v>0.99776785714285732</v>
      </c>
      <c r="P54">
        <v>1.0486935866983369</v>
      </c>
      <c r="Q54" s="2">
        <v>163.19999999999999</v>
      </c>
      <c r="R54" s="2">
        <f t="shared" si="15"/>
        <v>1.112474437627812</v>
      </c>
      <c r="S54" s="2">
        <v>156.19999999999999</v>
      </c>
      <c r="T54" s="2">
        <f t="shared" si="16"/>
        <v>1.0462156731413261</v>
      </c>
      <c r="U54" s="2">
        <v>1553.87925178449</v>
      </c>
      <c r="V54" s="2">
        <f t="shared" si="17"/>
        <v>1.7151024494454579</v>
      </c>
      <c r="W54">
        <v>1.009493670886076</v>
      </c>
      <c r="X54" s="2">
        <v>102</v>
      </c>
      <c r="Y54" s="2">
        <f t="shared" si="18"/>
        <v>0.98455598455598459</v>
      </c>
      <c r="Z54">
        <v>1075.333333333333</v>
      </c>
      <c r="AA54" s="2">
        <f t="shared" si="22"/>
        <v>0.78721327476817937</v>
      </c>
      <c r="AB54" s="2">
        <v>102</v>
      </c>
      <c r="AC54" s="2">
        <f t="shared" si="23"/>
        <v>0.98455598455598459</v>
      </c>
      <c r="AD54">
        <v>1.026966292134831</v>
      </c>
      <c r="AE54" s="2">
        <v>75.7</v>
      </c>
      <c r="AF54" s="27">
        <f t="shared" si="24"/>
        <v>0.87717265353418317</v>
      </c>
      <c r="AG54" s="46">
        <v>0.8341463414634146</v>
      </c>
      <c r="AH54" s="46">
        <v>1.2253521126760563</v>
      </c>
      <c r="AI54" s="46">
        <v>1.0604229607250755</v>
      </c>
      <c r="AJ54" s="46">
        <v>0.79206963249516438</v>
      </c>
      <c r="AK54" s="46">
        <v>0.81377303588748795</v>
      </c>
      <c r="AM54" s="48">
        <v>1.0344660194174757</v>
      </c>
      <c r="AN54" s="48">
        <v>1.0944254835039817</v>
      </c>
      <c r="AO54" s="2">
        <v>416.6</v>
      </c>
      <c r="AP54">
        <f t="shared" si="20"/>
        <v>0.96012906199585168</v>
      </c>
      <c r="AQ54" s="27">
        <f t="shared" si="21"/>
        <v>1.1125481599024933E-2</v>
      </c>
      <c r="AR54" s="52">
        <v>213.1</v>
      </c>
      <c r="AS54" s="52">
        <v>1.0344660189999999</v>
      </c>
    </row>
    <row r="55" spans="1:45" ht="14.4" x14ac:dyDescent="0.3">
      <c r="A55" s="5">
        <v>43586</v>
      </c>
      <c r="B55">
        <v>1.042598509052183</v>
      </c>
      <c r="C55">
        <v>1.051396648044693</v>
      </c>
      <c r="D55">
        <v>1.030851063829787</v>
      </c>
      <c r="E55">
        <v>1.028089887640449</v>
      </c>
      <c r="F55" s="25">
        <f t="shared" si="7"/>
        <v>1.0281049574788441</v>
      </c>
      <c r="G55" s="25">
        <f t="shared" si="8"/>
        <v>1.0023978315543347</v>
      </c>
      <c r="H55" s="25">
        <f t="shared" si="9"/>
        <v>1.0247597693754467</v>
      </c>
      <c r="I55" s="25">
        <f t="shared" si="10"/>
        <v>1.0746448062195342</v>
      </c>
      <c r="J55" s="25">
        <f t="shared" si="11"/>
        <v>1.0942790275921483</v>
      </c>
      <c r="K55" s="25">
        <f t="shared" si="12"/>
        <v>1.1322704888715569</v>
      </c>
      <c r="L55" s="25">
        <f t="shared" si="13"/>
        <v>1.2555063353300686</v>
      </c>
      <c r="M55" s="2">
        <v>98.9</v>
      </c>
      <c r="N55" s="27">
        <v>0.96960784313725501</v>
      </c>
      <c r="O55" s="26">
        <v>0.99330357142857151</v>
      </c>
      <c r="P55">
        <v>1.0546318289786221</v>
      </c>
      <c r="Q55" s="2">
        <v>160</v>
      </c>
      <c r="R55" s="2">
        <f t="shared" si="15"/>
        <v>1.0906612133606</v>
      </c>
      <c r="S55" s="2">
        <v>155.6</v>
      </c>
      <c r="T55" s="2">
        <f t="shared" si="16"/>
        <v>1.0421969189551239</v>
      </c>
      <c r="U55" s="2">
        <v>1475.6684244903399</v>
      </c>
      <c r="V55" s="2">
        <f t="shared" si="17"/>
        <v>1.6287768348191571</v>
      </c>
      <c r="W55">
        <v>1.0116033755274261</v>
      </c>
      <c r="X55" s="2">
        <v>101</v>
      </c>
      <c r="Y55" s="2">
        <f t="shared" si="18"/>
        <v>0.97490347490347495</v>
      </c>
      <c r="Z55">
        <v>1111</v>
      </c>
      <c r="AA55" s="2">
        <f t="shared" si="22"/>
        <v>0.8133235724743777</v>
      </c>
      <c r="AB55" s="2">
        <v>101</v>
      </c>
      <c r="AC55" s="2">
        <f t="shared" si="23"/>
        <v>0.97490347490347495</v>
      </c>
      <c r="AD55">
        <v>1.028089887640449</v>
      </c>
      <c r="AE55" s="2">
        <v>75.099999999999994</v>
      </c>
      <c r="AF55" s="27">
        <f t="shared" si="24"/>
        <v>0.87022016222479714</v>
      </c>
      <c r="AG55" s="46">
        <v>0.81560975609756092</v>
      </c>
      <c r="AH55" s="46">
        <v>1.2364185110663983</v>
      </c>
      <c r="AI55" s="46">
        <v>1.0715005035246727</v>
      </c>
      <c r="AJ55" s="46">
        <v>0.76692456479690518</v>
      </c>
      <c r="AK55" s="46">
        <v>0.80698351115421929</v>
      </c>
      <c r="AM55" s="48">
        <v>1.0111650485436894</v>
      </c>
      <c r="AN55" s="48">
        <v>1.0898748577929465</v>
      </c>
      <c r="AO55" s="2">
        <v>389.2</v>
      </c>
      <c r="AP55">
        <f t="shared" si="20"/>
        <v>0.93422947671627454</v>
      </c>
      <c r="AQ55" s="27">
        <f t="shared" si="21"/>
        <v>1.082537052973667E-2</v>
      </c>
      <c r="AR55" s="52">
        <v>208.3</v>
      </c>
      <c r="AS55" s="52">
        <v>1.0111650489999999</v>
      </c>
    </row>
    <row r="56" spans="1:45" ht="14.4" x14ac:dyDescent="0.3">
      <c r="A56" s="5">
        <v>43617</v>
      </c>
      <c r="B56">
        <v>1.042598509052183</v>
      </c>
      <c r="C56">
        <v>1.051396648044693</v>
      </c>
      <c r="D56">
        <v>1.035106382978723</v>
      </c>
      <c r="E56">
        <v>1.028089887640449</v>
      </c>
      <c r="F56" s="25">
        <f t="shared" si="7"/>
        <v>1.0271485418745883</v>
      </c>
      <c r="G56" s="25">
        <f t="shared" si="8"/>
        <v>1.001652612671617</v>
      </c>
      <c r="H56" s="25">
        <f t="shared" si="9"/>
        <v>1.0249753504727042</v>
      </c>
      <c r="I56" s="25">
        <f t="shared" si="10"/>
        <v>1.0736442252709295</v>
      </c>
      <c r="J56" s="25">
        <f t="shared" si="11"/>
        <v>1.0900305646496291</v>
      </c>
      <c r="K56" s="25">
        <f t="shared" si="12"/>
        <v>1.1319923529101987</v>
      </c>
      <c r="L56" s="25">
        <f t="shared" si="13"/>
        <v>1.2589483402843828</v>
      </c>
      <c r="M56" s="2">
        <v>98.2</v>
      </c>
      <c r="N56" s="27">
        <v>0.96274509803921571</v>
      </c>
      <c r="O56" s="26">
        <v>0.9832589285714286</v>
      </c>
      <c r="P56">
        <v>1.0486935866983369</v>
      </c>
      <c r="Q56" s="2">
        <v>154.80000000000001</v>
      </c>
      <c r="R56" s="2">
        <f t="shared" si="15"/>
        <v>1.0552147239263805</v>
      </c>
      <c r="S56" s="2">
        <v>155.69999999999999</v>
      </c>
      <c r="T56" s="2">
        <f t="shared" si="16"/>
        <v>1.0428667113194907</v>
      </c>
      <c r="U56" s="2">
        <v>1430.44231059247</v>
      </c>
      <c r="V56" s="2">
        <f t="shared" si="17"/>
        <v>1.5788582722049405</v>
      </c>
      <c r="W56">
        <v>1.0116033755274261</v>
      </c>
      <c r="X56" s="2">
        <v>101.4</v>
      </c>
      <c r="Y56" s="2">
        <f t="shared" si="18"/>
        <v>0.97876447876447892</v>
      </c>
      <c r="Z56">
        <v>1107</v>
      </c>
      <c r="AA56" s="2">
        <f t="shared" si="22"/>
        <v>0.81039531478770133</v>
      </c>
      <c r="AB56" s="2">
        <v>101.4</v>
      </c>
      <c r="AC56" s="2">
        <f t="shared" si="23"/>
        <v>0.97876447876447892</v>
      </c>
      <c r="AD56">
        <v>1.028089887640449</v>
      </c>
      <c r="AE56" s="2">
        <v>75.3</v>
      </c>
      <c r="AF56" s="27">
        <f t="shared" si="24"/>
        <v>0.87253765932792582</v>
      </c>
      <c r="AG56" s="46">
        <v>0.80390243902439029</v>
      </c>
      <c r="AH56" s="46">
        <v>1.2263581488933601</v>
      </c>
      <c r="AI56" s="46">
        <v>1.0584088620342396</v>
      </c>
      <c r="AJ56" s="46">
        <v>0.75338491295938104</v>
      </c>
      <c r="AK56" s="46">
        <v>0.80601357904946658</v>
      </c>
      <c r="AM56" s="48">
        <v>0.98980582524271843</v>
      </c>
      <c r="AN56" s="48">
        <v>1.0540386803185438</v>
      </c>
      <c r="AO56" s="2">
        <v>350.3</v>
      </c>
      <c r="AP56">
        <f t="shared" si="20"/>
        <v>0.90005138746145941</v>
      </c>
      <c r="AQ56" s="27">
        <f t="shared" si="21"/>
        <v>1.0429332415544142E-2</v>
      </c>
      <c r="AR56" s="52">
        <v>203.9</v>
      </c>
      <c r="AS56" s="52">
        <v>0.98980582500000003</v>
      </c>
    </row>
    <row r="57" spans="1:45" ht="14.4" x14ac:dyDescent="0.3">
      <c r="A57" s="5">
        <v>43647</v>
      </c>
      <c r="B57">
        <v>1.042598509052183</v>
      </c>
      <c r="C57">
        <v>1.051396648044693</v>
      </c>
      <c r="D57">
        <v>1.035106382978723</v>
      </c>
      <c r="E57">
        <v>1.026966292134831</v>
      </c>
      <c r="F57" s="25">
        <f t="shared" si="7"/>
        <v>1.0261921262703324</v>
      </c>
      <c r="G57" s="25">
        <f t="shared" si="8"/>
        <v>1.0009073937888993</v>
      </c>
      <c r="H57" s="25">
        <f t="shared" si="9"/>
        <v>1.0251909315699614</v>
      </c>
      <c r="I57" s="25">
        <f t="shared" si="10"/>
        <v>1.0726436443223246</v>
      </c>
      <c r="J57" s="25">
        <f t="shared" si="11"/>
        <v>1.0857821017071099</v>
      </c>
      <c r="K57" s="25">
        <f t="shared" si="12"/>
        <v>1.1317142169488408</v>
      </c>
      <c r="L57" s="25">
        <f t="shared" si="13"/>
        <v>1.2623903452386971</v>
      </c>
      <c r="M57" s="2">
        <v>96.1</v>
      </c>
      <c r="N57" s="27">
        <v>0.94215686274509802</v>
      </c>
      <c r="O57" s="26">
        <v>0.9776785714285714</v>
      </c>
      <c r="P57">
        <v>1.0356294536817101</v>
      </c>
      <c r="Q57" s="2">
        <v>154.80000000000001</v>
      </c>
      <c r="R57" s="2">
        <f t="shared" si="15"/>
        <v>1.0552147239263805</v>
      </c>
      <c r="S57" s="2">
        <v>155.4</v>
      </c>
      <c r="T57" s="2">
        <f t="shared" si="16"/>
        <v>1.0408573342263898</v>
      </c>
      <c r="U57" s="2">
        <v>1372.0358757906999</v>
      </c>
      <c r="V57" s="2">
        <f t="shared" si="17"/>
        <v>1.5143918606244702</v>
      </c>
      <c r="W57">
        <v>1.0158227848101271</v>
      </c>
      <c r="X57" s="2">
        <v>101.2</v>
      </c>
      <c r="Y57" s="2">
        <f t="shared" si="18"/>
        <v>0.97683397683397688</v>
      </c>
      <c r="Z57">
        <v>1059.2</v>
      </c>
      <c r="AA57" s="2">
        <f t="shared" si="22"/>
        <v>0.77540263543191801</v>
      </c>
      <c r="AB57" s="2">
        <v>101.2</v>
      </c>
      <c r="AC57" s="2">
        <f t="shared" si="23"/>
        <v>0.97683397683397688</v>
      </c>
      <c r="AD57">
        <v>1.026966292134831</v>
      </c>
      <c r="AE57" s="2">
        <v>74</v>
      </c>
      <c r="AF57" s="27">
        <f t="shared" si="24"/>
        <v>0.85747392815758983</v>
      </c>
      <c r="AG57" s="46">
        <v>0.775609756097561</v>
      </c>
      <c r="AH57" s="46">
        <v>1.2012072434607646</v>
      </c>
      <c r="AI57" s="46">
        <v>1.0402819738167171</v>
      </c>
      <c r="AJ57" s="46">
        <v>0.71566731141199225</v>
      </c>
      <c r="AK57" s="46">
        <v>0.79049466537342394</v>
      </c>
      <c r="AM57" s="48">
        <v>0.96844660194174759</v>
      </c>
      <c r="AN57" s="48">
        <v>1.0648464163822524</v>
      </c>
      <c r="AO57" s="2">
        <v>335.3</v>
      </c>
      <c r="AP57">
        <f t="shared" si="20"/>
        <v>0.95717956037681984</v>
      </c>
      <c r="AQ57" s="27">
        <f t="shared" si="21"/>
        <v>1.1091304291736036E-2</v>
      </c>
      <c r="AR57" s="52">
        <v>199.5</v>
      </c>
      <c r="AS57" s="52">
        <v>0.96844660199999999</v>
      </c>
    </row>
    <row r="58" spans="1:45" ht="14.4" x14ac:dyDescent="0.3">
      <c r="A58" s="5">
        <v>43678</v>
      </c>
      <c r="B58">
        <v>1.0436634717784881</v>
      </c>
      <c r="C58">
        <v>1.052513966480447</v>
      </c>
      <c r="D58">
        <v>1.038297872340425</v>
      </c>
      <c r="E58">
        <v>1.024719101123595</v>
      </c>
      <c r="F58" s="25">
        <f t="shared" si="7"/>
        <v>1.0252357106660763</v>
      </c>
      <c r="G58" s="25">
        <f t="shared" si="8"/>
        <v>1.0001621749061815</v>
      </c>
      <c r="H58" s="25">
        <f t="shared" si="9"/>
        <v>1.0254065126672189</v>
      </c>
      <c r="I58" s="25">
        <f t="shared" si="10"/>
        <v>1.07164306337372</v>
      </c>
      <c r="J58" s="25">
        <f t="shared" si="11"/>
        <v>1.0815336387645904</v>
      </c>
      <c r="K58" s="25">
        <f t="shared" si="12"/>
        <v>1.1314360809874828</v>
      </c>
      <c r="L58" s="25">
        <f t="shared" si="13"/>
        <v>1.2658323501930111</v>
      </c>
      <c r="M58" s="2">
        <v>97.7</v>
      </c>
      <c r="N58" s="27">
        <v>0.957843137254902</v>
      </c>
      <c r="O58" s="26">
        <v>0.97544642857142871</v>
      </c>
      <c r="P58">
        <v>1.028503562945368</v>
      </c>
      <c r="Q58" s="2">
        <v>154.80000000000001</v>
      </c>
      <c r="R58" s="2">
        <f t="shared" si="15"/>
        <v>1.0552147239263805</v>
      </c>
      <c r="S58" s="2">
        <v>156.5</v>
      </c>
      <c r="T58" s="2">
        <f t="shared" si="16"/>
        <v>1.0482250502344272</v>
      </c>
      <c r="U58" s="2">
        <v>1337.7276815166999</v>
      </c>
      <c r="V58" s="2">
        <f t="shared" si="17"/>
        <v>1.4765240095879026</v>
      </c>
      <c r="W58">
        <v>1.0147679324894521</v>
      </c>
      <c r="X58" s="2">
        <v>100.8</v>
      </c>
      <c r="Y58" s="2">
        <f t="shared" si="18"/>
        <v>0.97297297297297303</v>
      </c>
      <c r="Z58">
        <v>1035.5</v>
      </c>
      <c r="AA58" s="2">
        <f t="shared" si="22"/>
        <v>0.75805270863836016</v>
      </c>
      <c r="AB58" s="2">
        <v>100.8</v>
      </c>
      <c r="AC58" s="2">
        <f t="shared" si="23"/>
        <v>0.97297297297297303</v>
      </c>
      <c r="AD58">
        <v>1.024719101123595</v>
      </c>
      <c r="AE58" s="2">
        <v>73.5</v>
      </c>
      <c r="AF58" s="27">
        <f t="shared" si="24"/>
        <v>0.85168018539976831</v>
      </c>
      <c r="AG58" s="46">
        <v>0.75121951219512195</v>
      </c>
      <c r="AH58" s="46">
        <v>1.1589537223340041</v>
      </c>
      <c r="AI58" s="46">
        <v>1.0271903323262841</v>
      </c>
      <c r="AJ58" s="46">
        <v>0.68181818181818177</v>
      </c>
      <c r="AK58" s="46">
        <v>0.77400581959262849</v>
      </c>
      <c r="AM58" s="48">
        <v>0.94514563106796112</v>
      </c>
      <c r="AN58" s="48">
        <v>1.0426621160409557</v>
      </c>
      <c r="AO58" s="2">
        <v>360.6</v>
      </c>
      <c r="AP58">
        <f t="shared" si="20"/>
        <v>1.0754548165821654</v>
      </c>
      <c r="AQ58" s="27">
        <f t="shared" si="21"/>
        <v>1.2461817109874453E-2</v>
      </c>
      <c r="AR58" s="52">
        <v>194.7</v>
      </c>
      <c r="AS58" s="52">
        <v>0.94514563100000004</v>
      </c>
    </row>
    <row r="59" spans="1:45" ht="14.4" x14ac:dyDescent="0.3">
      <c r="A59" s="5">
        <v>43709</v>
      </c>
      <c r="B59">
        <v>1.0436634717784881</v>
      </c>
      <c r="C59">
        <v>1.052513966480447</v>
      </c>
      <c r="D59">
        <v>1.037234042553191</v>
      </c>
      <c r="E59">
        <v>1.02247191011236</v>
      </c>
      <c r="F59" s="25">
        <f t="shared" si="7"/>
        <v>1.0242792950618205</v>
      </c>
      <c r="G59" s="25">
        <f t="shared" si="8"/>
        <v>0.99941695602346381</v>
      </c>
      <c r="H59" s="25">
        <f t="shared" si="9"/>
        <v>1.0256220937644764</v>
      </c>
      <c r="I59" s="25">
        <f t="shared" si="10"/>
        <v>1.0706424824251153</v>
      </c>
      <c r="J59" s="25">
        <f t="shared" si="11"/>
        <v>1.0772851758220712</v>
      </c>
      <c r="K59" s="25">
        <f t="shared" si="12"/>
        <v>1.1311579450261247</v>
      </c>
      <c r="L59" s="25">
        <f t="shared" si="13"/>
        <v>1.2692743551473253</v>
      </c>
      <c r="M59" s="2">
        <v>99.5</v>
      </c>
      <c r="N59" s="27">
        <v>0.97549019607843135</v>
      </c>
      <c r="O59" s="26">
        <v>0.96986607142857151</v>
      </c>
      <c r="P59">
        <v>1.02375296912114</v>
      </c>
      <c r="Q59" s="2">
        <v>154.80000000000001</v>
      </c>
      <c r="R59" s="2">
        <f t="shared" si="15"/>
        <v>1.0552147239263805</v>
      </c>
      <c r="S59" s="2">
        <v>156.5</v>
      </c>
      <c r="T59" s="2">
        <f t="shared" si="16"/>
        <v>1.0482250502344272</v>
      </c>
      <c r="U59" s="2">
        <v>1346.917950733</v>
      </c>
      <c r="V59" s="2">
        <f t="shared" si="17"/>
        <v>1.4866678178830697</v>
      </c>
      <c r="W59">
        <v>1.0168776371308019</v>
      </c>
      <c r="X59" s="2">
        <v>100.8</v>
      </c>
      <c r="Y59" s="2">
        <f t="shared" si="18"/>
        <v>0.97297297297297303</v>
      </c>
      <c r="Z59">
        <v>989</v>
      </c>
      <c r="AA59" s="2">
        <f t="shared" si="22"/>
        <v>0.72401171303074674</v>
      </c>
      <c r="AB59" s="2">
        <v>100.8</v>
      </c>
      <c r="AC59" s="2">
        <f t="shared" si="23"/>
        <v>0.97297297297297303</v>
      </c>
      <c r="AD59">
        <v>1.02247191011236</v>
      </c>
      <c r="AE59" s="2">
        <v>76.400000000000006</v>
      </c>
      <c r="AF59" s="27">
        <f t="shared" si="24"/>
        <v>0.88528389339513336</v>
      </c>
      <c r="AG59" s="46">
        <v>0.74341463414634146</v>
      </c>
      <c r="AH59" s="46">
        <v>1.204225352112676</v>
      </c>
      <c r="AI59" s="46">
        <v>1.0241691842900302</v>
      </c>
      <c r="AJ59" s="46">
        <v>0.67021276595744672</v>
      </c>
      <c r="AK59" s="46">
        <v>0.75557710960232793</v>
      </c>
      <c r="AM59" s="48">
        <v>0.93980582524271838</v>
      </c>
      <c r="AN59" s="48">
        <v>1.0540386803185438</v>
      </c>
      <c r="AO59" s="2">
        <v>320.39999999999998</v>
      </c>
      <c r="AP59">
        <f t="shared" si="20"/>
        <v>0.88851913477537425</v>
      </c>
      <c r="AQ59" s="27">
        <f t="shared" si="21"/>
        <v>1.0295702604581394E-2</v>
      </c>
      <c r="AR59" s="52">
        <v>193.6</v>
      </c>
      <c r="AS59" s="52">
        <v>0.93980582499999998</v>
      </c>
    </row>
    <row r="60" spans="1:45" ht="14.4" x14ac:dyDescent="0.3">
      <c r="A60" s="5">
        <v>43739</v>
      </c>
      <c r="B60">
        <v>1.0436634717784881</v>
      </c>
      <c r="C60">
        <v>1.052513966480447</v>
      </c>
      <c r="D60">
        <v>1.03936170212766</v>
      </c>
      <c r="E60">
        <v>1.020224719101124</v>
      </c>
      <c r="F60" s="25">
        <f t="shared" si="7"/>
        <v>1.0233228794575646</v>
      </c>
      <c r="G60" s="25">
        <f t="shared" si="8"/>
        <v>0.99867173714074609</v>
      </c>
      <c r="H60" s="25">
        <f t="shared" si="9"/>
        <v>1.0258376748617339</v>
      </c>
      <c r="I60" s="25">
        <f t="shared" si="10"/>
        <v>1.0696419014765104</v>
      </c>
      <c r="J60" s="25">
        <f t="shared" si="11"/>
        <v>1.0730367128795519</v>
      </c>
      <c r="K60" s="25">
        <f t="shared" si="12"/>
        <v>1.1308798090647667</v>
      </c>
      <c r="L60" s="25">
        <f t="shared" si="13"/>
        <v>1.2727163601016396</v>
      </c>
      <c r="M60" s="2">
        <v>103.6</v>
      </c>
      <c r="N60" s="27">
        <v>1.0156862745098039</v>
      </c>
      <c r="O60" s="26">
        <v>0.96875</v>
      </c>
      <c r="P60">
        <v>1.021377672209026</v>
      </c>
      <c r="Q60" s="2">
        <v>154.80000000000001</v>
      </c>
      <c r="R60" s="2">
        <f t="shared" si="15"/>
        <v>1.0552147239263805</v>
      </c>
      <c r="S60" s="2">
        <v>156.5</v>
      </c>
      <c r="T60" s="2">
        <f t="shared" si="16"/>
        <v>1.0482250502344272</v>
      </c>
      <c r="U60" s="2">
        <v>1133.59377740632</v>
      </c>
      <c r="V60" s="2">
        <f t="shared" si="17"/>
        <v>1.2512101323657785</v>
      </c>
      <c r="W60">
        <v>1.0147679324894521</v>
      </c>
      <c r="X60" s="2">
        <v>100.9</v>
      </c>
      <c r="Y60" s="2">
        <f t="shared" si="18"/>
        <v>0.97393822393822405</v>
      </c>
      <c r="Z60">
        <v>981.5</v>
      </c>
      <c r="AA60" s="2">
        <f t="shared" si="22"/>
        <v>0.71852122986822842</v>
      </c>
      <c r="AB60" s="2">
        <v>100.9</v>
      </c>
      <c r="AC60" s="2">
        <f t="shared" si="23"/>
        <v>0.97393822393822405</v>
      </c>
      <c r="AD60">
        <v>1.020224719101124</v>
      </c>
      <c r="AE60" s="2">
        <v>70.8</v>
      </c>
      <c r="AF60" s="27">
        <f t="shared" si="24"/>
        <v>0.82039397450753182</v>
      </c>
      <c r="AG60" s="46">
        <v>0.74634146341463414</v>
      </c>
      <c r="AH60" s="46">
        <v>1.2062374245472838</v>
      </c>
      <c r="AI60" s="46">
        <v>1.0483383685800605</v>
      </c>
      <c r="AJ60" s="46">
        <v>0.66827852998065751</v>
      </c>
      <c r="AK60" s="46">
        <v>0.77206595538312317</v>
      </c>
      <c r="AL60" s="48">
        <v>1.337</v>
      </c>
      <c r="AM60" s="48">
        <v>0.94466019417475722</v>
      </c>
      <c r="AN60" s="48">
        <v>1.033560864618885</v>
      </c>
      <c r="AO60" s="2">
        <v>281.7</v>
      </c>
      <c r="AP60">
        <f t="shared" si="20"/>
        <v>0.8792134831460674</v>
      </c>
      <c r="AQ60" s="27">
        <f t="shared" si="21"/>
        <v>1.0187873501113181E-2</v>
      </c>
      <c r="AR60" s="52">
        <v>194.6</v>
      </c>
      <c r="AS60" s="52">
        <v>0.94466019400000001</v>
      </c>
    </row>
    <row r="61" spans="1:45" ht="14.4" x14ac:dyDescent="0.3">
      <c r="A61" s="5">
        <v>43770</v>
      </c>
      <c r="B61">
        <v>1.042598509052183</v>
      </c>
      <c r="C61">
        <v>1.051396648044693</v>
      </c>
      <c r="D61">
        <v>1.03936170212766</v>
      </c>
      <c r="E61">
        <v>1.020224719101124</v>
      </c>
      <c r="F61" s="25">
        <f t="shared" si="7"/>
        <v>1.0223664638533088</v>
      </c>
      <c r="G61" s="25">
        <f t="shared" si="8"/>
        <v>0.99792651825802836</v>
      </c>
      <c r="H61" s="25">
        <f t="shared" si="9"/>
        <v>1.0260532559589914</v>
      </c>
      <c r="I61" s="25">
        <f t="shared" si="10"/>
        <v>1.0686413205279057</v>
      </c>
      <c r="J61" s="25">
        <f t="shared" si="11"/>
        <v>1.0687882499370327</v>
      </c>
      <c r="K61" s="25">
        <f t="shared" si="12"/>
        <v>1.1306016731034088</v>
      </c>
      <c r="L61" s="25">
        <f t="shared" si="13"/>
        <v>1.2761583650559536</v>
      </c>
      <c r="M61" s="2">
        <v>106.2</v>
      </c>
      <c r="N61" s="27">
        <v>1.0411764705882354</v>
      </c>
      <c r="O61" s="26">
        <v>0.96540178571428581</v>
      </c>
      <c r="P61">
        <v>1.0142517814726839</v>
      </c>
      <c r="Q61" s="2">
        <v>154.5</v>
      </c>
      <c r="R61" s="2">
        <f t="shared" si="15"/>
        <v>1.0531697341513293</v>
      </c>
      <c r="S61" s="2">
        <v>156.30000000000001</v>
      </c>
      <c r="T61" s="2">
        <f t="shared" si="16"/>
        <v>1.0468854655056932</v>
      </c>
      <c r="U61" s="2">
        <v>1154.55418762518</v>
      </c>
      <c r="V61" s="2">
        <f t="shared" si="17"/>
        <v>1.2743452960964634</v>
      </c>
      <c r="W61">
        <v>1.0137130801687759</v>
      </c>
      <c r="X61" s="2">
        <v>100.3</v>
      </c>
      <c r="Y61" s="2">
        <f t="shared" si="18"/>
        <v>0.96814671814671815</v>
      </c>
      <c r="Z61">
        <v>961.25</v>
      </c>
      <c r="AA61" s="2">
        <f t="shared" si="22"/>
        <v>0.70369692532942896</v>
      </c>
      <c r="AB61" s="2">
        <v>100.3</v>
      </c>
      <c r="AC61" s="2">
        <f t="shared" si="23"/>
        <v>0.96814671814671815</v>
      </c>
      <c r="AD61">
        <v>1.020224719101124</v>
      </c>
      <c r="AE61" s="2">
        <v>73.3</v>
      </c>
      <c r="AF61" s="27">
        <f t="shared" si="24"/>
        <v>0.84936268829663963</v>
      </c>
      <c r="AG61" s="46">
        <v>0.73560975609756107</v>
      </c>
      <c r="AH61" s="46">
        <v>1.1539235412474849</v>
      </c>
      <c r="AI61" s="46">
        <v>1.0302114803625377</v>
      </c>
      <c r="AJ61" s="46">
        <v>0.66054158607350089</v>
      </c>
      <c r="AK61" s="46">
        <v>0.76042677012609128</v>
      </c>
      <c r="AL61" s="48">
        <v>1.337</v>
      </c>
      <c r="AM61" s="48">
        <v>0.94368932038834952</v>
      </c>
      <c r="AN61" s="48">
        <v>1.1052332195676906</v>
      </c>
      <c r="AO61" s="2">
        <v>299.10000000000002</v>
      </c>
      <c r="AP61">
        <f t="shared" si="20"/>
        <v>1.0617678381256657</v>
      </c>
      <c r="AQ61" s="27">
        <f t="shared" si="21"/>
        <v>1.2303219445256844E-2</v>
      </c>
      <c r="AR61" s="52">
        <v>194.4</v>
      </c>
      <c r="AS61" s="52">
        <v>0.94368932000000005</v>
      </c>
    </row>
    <row r="62" spans="1:45" ht="14.4" x14ac:dyDescent="0.3">
      <c r="A62" s="5">
        <v>43800</v>
      </c>
      <c r="B62">
        <v>1.0436634717784881</v>
      </c>
      <c r="C62">
        <v>1.052513966480447</v>
      </c>
      <c r="D62">
        <v>1.0404255319148941</v>
      </c>
      <c r="E62">
        <v>1.0157303370786519</v>
      </c>
      <c r="F62" s="25">
        <f t="shared" si="7"/>
        <v>1.0214100482490529</v>
      </c>
      <c r="G62" s="25">
        <f t="shared" si="8"/>
        <v>0.99718129937531064</v>
      </c>
      <c r="H62" s="25">
        <f t="shared" si="9"/>
        <v>1.0262688370562487</v>
      </c>
      <c r="I62" s="25">
        <f t="shared" si="10"/>
        <v>1.0676407395793008</v>
      </c>
      <c r="J62" s="25">
        <f t="shared" si="11"/>
        <v>1.0645397869945135</v>
      </c>
      <c r="K62" s="25">
        <f t="shared" si="12"/>
        <v>1.1303235371420506</v>
      </c>
      <c r="L62" s="25">
        <f t="shared" si="13"/>
        <v>1.2796003700102678</v>
      </c>
      <c r="M62" s="2">
        <v>104.8</v>
      </c>
      <c r="N62" s="27">
        <v>1.0274509803921568</v>
      </c>
      <c r="O62" s="26">
        <v>0.96540178571428581</v>
      </c>
      <c r="P62">
        <v>1.013064133016627</v>
      </c>
      <c r="Q62" s="2">
        <v>154.30000000000001</v>
      </c>
      <c r="R62" s="2">
        <f t="shared" si="15"/>
        <v>1.0518064076346287</v>
      </c>
      <c r="S62" s="2">
        <v>156.30000000000001</v>
      </c>
      <c r="T62" s="2">
        <f t="shared" si="16"/>
        <v>1.0468854655056932</v>
      </c>
      <c r="U62" s="2">
        <v>1157.72873338258</v>
      </c>
      <c r="V62" s="2">
        <f t="shared" si="17"/>
        <v>1.2778492177803014</v>
      </c>
      <c r="W62">
        <v>1.010548523206751</v>
      </c>
      <c r="X62" s="2">
        <v>99.6</v>
      </c>
      <c r="Y62" s="2">
        <f t="shared" si="18"/>
        <v>0.96138996138996136</v>
      </c>
      <c r="Z62">
        <v>953</v>
      </c>
      <c r="AA62" s="2">
        <f t="shared" si="22"/>
        <v>0.69765739385065884</v>
      </c>
      <c r="AB62" s="2">
        <v>99.6</v>
      </c>
      <c r="AC62" s="2">
        <f t="shared" si="23"/>
        <v>0.96138996138996136</v>
      </c>
      <c r="AD62">
        <v>1.0157303370786519</v>
      </c>
      <c r="AE62" s="2">
        <v>68.8</v>
      </c>
      <c r="AF62" s="27">
        <f t="shared" si="24"/>
        <v>0.79721900347624564</v>
      </c>
      <c r="AG62" s="46">
        <v>0.73170731707317072</v>
      </c>
      <c r="AH62" s="46">
        <v>1.1901408450704225</v>
      </c>
      <c r="AI62" s="46">
        <v>1.0120845921450152</v>
      </c>
      <c r="AJ62" s="46">
        <v>0.65764023210831712</v>
      </c>
      <c r="AK62" s="46">
        <v>0.75460717749757522</v>
      </c>
      <c r="AL62" s="48">
        <v>1.337</v>
      </c>
      <c r="AM62" s="48">
        <v>0.94611650485436893</v>
      </c>
      <c r="AN62" s="48">
        <v>1.1086461888509669</v>
      </c>
      <c r="AO62" s="2">
        <v>334.9</v>
      </c>
      <c r="AP62">
        <f t="shared" si="20"/>
        <v>1.1196924105650283</v>
      </c>
      <c r="AQ62" s="27">
        <f t="shared" si="21"/>
        <v>1.297441958939778E-2</v>
      </c>
      <c r="AR62" s="52">
        <v>194.9</v>
      </c>
      <c r="AS62" s="52">
        <v>0.946116505</v>
      </c>
    </row>
    <row r="63" spans="1:45" ht="14.4" x14ac:dyDescent="0.3">
      <c r="A63" s="5">
        <v>43831</v>
      </c>
      <c r="B63">
        <v>1.0436634717784881</v>
      </c>
      <c r="C63">
        <v>1.0536312849162011</v>
      </c>
      <c r="D63">
        <v>1.03936170212766</v>
      </c>
      <c r="E63">
        <v>1.014606741573034</v>
      </c>
      <c r="F63" s="25">
        <f t="shared" si="7"/>
        <v>1.020453632644797</v>
      </c>
      <c r="G63" s="25">
        <f t="shared" si="8"/>
        <v>0.99643608049259291</v>
      </c>
      <c r="H63" s="25">
        <f t="shared" si="9"/>
        <v>1.0264844181535062</v>
      </c>
      <c r="I63" s="25">
        <f t="shared" si="10"/>
        <v>1.0666401586306962</v>
      </c>
      <c r="J63" s="25">
        <f t="shared" si="11"/>
        <v>1.0602913240519942</v>
      </c>
      <c r="K63" s="25">
        <f t="shared" si="12"/>
        <v>1.1300454011806926</v>
      </c>
      <c r="L63" s="25">
        <f t="shared" si="13"/>
        <v>1.2830423749645821</v>
      </c>
      <c r="M63" s="2">
        <v>101.6</v>
      </c>
      <c r="N63" s="27">
        <v>0.99607843137254892</v>
      </c>
      <c r="O63" s="26">
        <v>0.96428571428571441</v>
      </c>
      <c r="P63">
        <v>1.0059382422802849</v>
      </c>
      <c r="Q63" s="2">
        <v>151.6</v>
      </c>
      <c r="R63" s="2">
        <f t="shared" si="15"/>
        <v>1.0334014996591685</v>
      </c>
      <c r="S63" s="2">
        <v>156.30000000000001</v>
      </c>
      <c r="T63" s="2">
        <f t="shared" si="16"/>
        <v>1.0468854655056932</v>
      </c>
      <c r="U63" s="2">
        <v>1188.5252312237601</v>
      </c>
      <c r="V63" s="2">
        <f t="shared" si="17"/>
        <v>1.3118410152903663</v>
      </c>
      <c r="W63">
        <v>1.0021097046413501</v>
      </c>
      <c r="X63" s="2">
        <v>98.8</v>
      </c>
      <c r="Y63" s="2">
        <f t="shared" si="18"/>
        <v>0.95366795366795365</v>
      </c>
      <c r="Z63">
        <v>950</v>
      </c>
      <c r="AA63" s="2">
        <f t="shared" si="22"/>
        <v>0.69546120058565153</v>
      </c>
      <c r="AB63" s="2">
        <v>98.8</v>
      </c>
      <c r="AC63" s="2">
        <f t="shared" si="23"/>
        <v>0.95366795366795365</v>
      </c>
      <c r="AD63">
        <v>1.014606741573034</v>
      </c>
      <c r="AE63" s="2">
        <v>68.900000000000006</v>
      </c>
      <c r="AF63" s="27">
        <f t="shared" si="24"/>
        <v>0.79837775202781003</v>
      </c>
      <c r="AG63" s="46">
        <v>0.73268292682926828</v>
      </c>
      <c r="AH63" s="46">
        <v>1.1961770623742454</v>
      </c>
      <c r="AI63" s="46">
        <v>1.0322255790533736</v>
      </c>
      <c r="AJ63" s="46">
        <v>0.66441005802707931</v>
      </c>
      <c r="AK63" s="46">
        <v>0.74587778855480125</v>
      </c>
      <c r="AL63" s="48">
        <v>1.34</v>
      </c>
      <c r="AM63" s="48">
        <v>0.94514563106796112</v>
      </c>
      <c r="AN63" s="48">
        <v>1.0790671217292376</v>
      </c>
      <c r="AO63" s="2">
        <v>376.4</v>
      </c>
      <c r="AP63">
        <f t="shared" si="20"/>
        <v>1.1239175873395044</v>
      </c>
      <c r="AQ63" s="27">
        <f t="shared" si="21"/>
        <v>1.3023378764073053E-2</v>
      </c>
      <c r="AR63" s="55">
        <v>194.7</v>
      </c>
      <c r="AS63" s="55">
        <v>0.94514563100000004</v>
      </c>
    </row>
    <row r="64" spans="1:45" ht="14.4" x14ac:dyDescent="0.3">
      <c r="A64" s="5">
        <v>43862</v>
      </c>
      <c r="B64">
        <v>1.0436634717784881</v>
      </c>
      <c r="C64">
        <v>1.0536312849162011</v>
      </c>
      <c r="D64">
        <v>1.0404255319148941</v>
      </c>
      <c r="E64">
        <v>1.0157303370786519</v>
      </c>
      <c r="F64" s="25">
        <f t="shared" si="7"/>
        <v>1.0553625664836035</v>
      </c>
      <c r="G64" s="25">
        <f t="shared" si="8"/>
        <v>1.043519686912326</v>
      </c>
      <c r="H64" s="25">
        <f t="shared" si="9"/>
        <v>1.0859273481243572</v>
      </c>
      <c r="I64" s="25">
        <f t="shared" si="10"/>
        <v>1.0856215661073545</v>
      </c>
      <c r="J64" s="25">
        <f t="shared" si="11"/>
        <v>1.0748926318267713</v>
      </c>
      <c r="K64" s="25">
        <f t="shared" si="12"/>
        <v>1.1519556882021147</v>
      </c>
      <c r="L64" s="25">
        <f t="shared" si="13"/>
        <v>1.3120345236850559</v>
      </c>
      <c r="M64" s="2">
        <v>101.7</v>
      </c>
      <c r="N64" s="27">
        <v>0.99705882352941178</v>
      </c>
      <c r="O64" s="26">
        <v>0.96205357142857151</v>
      </c>
      <c r="P64">
        <v>1.0035629453681709</v>
      </c>
      <c r="Q64" s="2">
        <v>151.19999999999999</v>
      </c>
      <c r="R64" s="2">
        <f t="shared" si="15"/>
        <v>1.0306748466257669</v>
      </c>
      <c r="S64" s="2">
        <v>158.30000000000001</v>
      </c>
      <c r="T64" s="2">
        <f t="shared" si="16"/>
        <v>1.0602813127930342</v>
      </c>
      <c r="U64" s="2">
        <v>1143.0910997645301</v>
      </c>
      <c r="V64" s="2">
        <f t="shared" si="17"/>
        <v>1.2616928521916806</v>
      </c>
      <c r="W64">
        <v>1.0031645569620249</v>
      </c>
      <c r="X64" s="2">
        <v>99.7</v>
      </c>
      <c r="Y64" s="2">
        <f t="shared" si="18"/>
        <v>0.96235521235521249</v>
      </c>
      <c r="Z64">
        <v>953</v>
      </c>
      <c r="AA64" s="2">
        <f t="shared" si="22"/>
        <v>0.69765739385065884</v>
      </c>
      <c r="AB64" s="2">
        <v>99.7</v>
      </c>
      <c r="AC64" s="2">
        <f t="shared" si="23"/>
        <v>0.96235521235521249</v>
      </c>
      <c r="AD64">
        <v>1.0157303370786519</v>
      </c>
      <c r="AE64" s="2">
        <v>68.3</v>
      </c>
      <c r="AF64" s="27">
        <f t="shared" si="24"/>
        <v>0.79142526071842412</v>
      </c>
      <c r="AG64" s="46">
        <v>0.72585365853658546</v>
      </c>
      <c r="AH64" s="46">
        <v>1.1881287726358147</v>
      </c>
      <c r="AI64" s="46">
        <v>1.041289023162135</v>
      </c>
      <c r="AJ64" s="46">
        <v>0.65087040618955505</v>
      </c>
      <c r="AK64" s="46">
        <v>0.74005819592628519</v>
      </c>
      <c r="AL64" s="48">
        <v>1.339</v>
      </c>
      <c r="AM64" s="48">
        <v>0.95339805825242718</v>
      </c>
      <c r="AN64" s="48">
        <v>1.1473265073947667</v>
      </c>
      <c r="AO64" s="2">
        <v>349.3</v>
      </c>
      <c r="AP64">
        <f t="shared" si="20"/>
        <v>0.92800212539851235</v>
      </c>
      <c r="AQ64" s="27">
        <f t="shared" si="21"/>
        <v>1.0753211186541279E-2</v>
      </c>
      <c r="AR64" s="52">
        <v>196.4</v>
      </c>
      <c r="AS64" s="52">
        <v>0.95339805799999999</v>
      </c>
    </row>
    <row r="65" spans="1:45" ht="14.4" x14ac:dyDescent="0.3">
      <c r="A65" s="5">
        <v>43891</v>
      </c>
      <c r="B65">
        <v>1.042598509052183</v>
      </c>
      <c r="C65">
        <v>1.0536312849162011</v>
      </c>
      <c r="D65">
        <v>1.0404255319148941</v>
      </c>
      <c r="E65">
        <v>1.01123595505618</v>
      </c>
      <c r="F65" s="25">
        <f t="shared" si="7"/>
        <v>1.0902715003224099</v>
      </c>
      <c r="G65" s="25">
        <f t="shared" si="8"/>
        <v>1.0906032933320593</v>
      </c>
      <c r="H65" s="25">
        <f t="shared" si="9"/>
        <v>1.1453702780952084</v>
      </c>
      <c r="I65" s="25">
        <f t="shared" si="10"/>
        <v>1.1046029735840128</v>
      </c>
      <c r="J65" s="25">
        <f t="shared" si="11"/>
        <v>1.0894939396015484</v>
      </c>
      <c r="K65" s="25">
        <f t="shared" si="12"/>
        <v>1.1738659752235368</v>
      </c>
      <c r="L65" s="25">
        <f t="shared" si="13"/>
        <v>1.3410266724055298</v>
      </c>
      <c r="M65" s="2">
        <v>100.7</v>
      </c>
      <c r="N65" s="27">
        <v>0.98725490196078436</v>
      </c>
      <c r="O65" s="26">
        <v>0.9520089285714286</v>
      </c>
      <c r="P65">
        <v>0.99643705463182897</v>
      </c>
      <c r="Q65" s="2">
        <v>150.6</v>
      </c>
      <c r="R65" s="2">
        <f t="shared" si="15"/>
        <v>1.0265848670756648</v>
      </c>
      <c r="S65" s="2">
        <v>158.30000000000001</v>
      </c>
      <c r="T65" s="2">
        <f t="shared" si="16"/>
        <v>1.0602813127930342</v>
      </c>
      <c r="U65" s="2">
        <v>1008.14557126587</v>
      </c>
      <c r="V65" s="2">
        <f t="shared" si="17"/>
        <v>1.1127460107920226</v>
      </c>
      <c r="W65">
        <v>1.001054852320675</v>
      </c>
      <c r="X65" s="2">
        <v>99.5</v>
      </c>
      <c r="Y65" s="2">
        <f t="shared" si="18"/>
        <v>0.96042471042471045</v>
      </c>
      <c r="Z65">
        <v>906.4</v>
      </c>
      <c r="AA65" s="2">
        <f t="shared" si="22"/>
        <v>0.66354319180087851</v>
      </c>
      <c r="AB65" s="2">
        <v>99.5</v>
      </c>
      <c r="AC65" s="2">
        <f t="shared" si="23"/>
        <v>0.96042471042471045</v>
      </c>
      <c r="AD65">
        <v>1.01123595505618</v>
      </c>
      <c r="AE65" s="2">
        <v>70.2</v>
      </c>
      <c r="AF65" s="27">
        <f t="shared" si="24"/>
        <v>0.81344148319814602</v>
      </c>
      <c r="AG65" s="46">
        <v>0.73268292682926828</v>
      </c>
      <c r="AH65" s="46">
        <v>1.1901408450704225</v>
      </c>
      <c r="AI65" s="46">
        <v>1.0392749244712991</v>
      </c>
      <c r="AJ65" s="46">
        <v>0.66150870406189555</v>
      </c>
      <c r="AK65" s="46">
        <v>0.74296799224054311</v>
      </c>
      <c r="AL65" s="48">
        <v>1.339</v>
      </c>
      <c r="AM65" s="48">
        <v>0.99223300970873785</v>
      </c>
      <c r="AN65" s="48">
        <v>1.2463026166097837</v>
      </c>
      <c r="AO65" s="2">
        <v>353.9</v>
      </c>
      <c r="AP65">
        <f t="shared" si="20"/>
        <v>1.0131691955339248</v>
      </c>
      <c r="AQ65" s="27">
        <f t="shared" si="21"/>
        <v>1.1740083378145132E-2</v>
      </c>
      <c r="AR65" s="52">
        <v>204.4</v>
      </c>
      <c r="AS65" s="52">
        <v>0.99223300999999997</v>
      </c>
    </row>
    <row r="66" spans="1:45" ht="14.4" x14ac:dyDescent="0.3">
      <c r="A66" s="5">
        <v>43922</v>
      </c>
      <c r="B66">
        <v>1.0436634717784881</v>
      </c>
      <c r="C66">
        <v>1.05586592178771</v>
      </c>
      <c r="D66">
        <v>1.042553191489362</v>
      </c>
      <c r="E66">
        <v>1.0123595505617979</v>
      </c>
      <c r="F66" s="25">
        <f t="shared" si="7"/>
        <v>1.1251804341612162</v>
      </c>
      <c r="G66" s="25">
        <f t="shared" si="8"/>
        <v>1.1376868997517924</v>
      </c>
      <c r="H66" s="25">
        <f t="shared" si="9"/>
        <v>1.2048132080660594</v>
      </c>
      <c r="I66" s="25">
        <f t="shared" si="10"/>
        <v>1.1235843810606714</v>
      </c>
      <c r="J66" s="25">
        <f t="shared" si="11"/>
        <v>1.1040952473763255</v>
      </c>
      <c r="K66" s="25">
        <f t="shared" si="12"/>
        <v>1.1957762622449588</v>
      </c>
      <c r="L66" s="25">
        <f t="shared" si="13"/>
        <v>1.3700188211260036</v>
      </c>
      <c r="M66" s="2">
        <v>99.8</v>
      </c>
      <c r="N66" s="27">
        <v>0.97843137254901957</v>
      </c>
      <c r="O66" s="26">
        <v>0.94531250000000011</v>
      </c>
      <c r="P66">
        <v>0.9667458432304038</v>
      </c>
      <c r="Q66" s="2">
        <v>150.6</v>
      </c>
      <c r="R66" s="2">
        <f t="shared" si="15"/>
        <v>1.0265848670756648</v>
      </c>
      <c r="S66" s="2">
        <v>158.30000000000001</v>
      </c>
      <c r="T66" s="2">
        <f t="shared" si="16"/>
        <v>1.0602813127930342</v>
      </c>
      <c r="U66" s="2">
        <v>893.98485929992</v>
      </c>
      <c r="V66" s="2">
        <f t="shared" si="17"/>
        <v>0.98674052066247564</v>
      </c>
      <c r="W66">
        <v>0.99894514767932496</v>
      </c>
      <c r="X66" s="2">
        <v>100.1</v>
      </c>
      <c r="Y66" s="2">
        <f t="shared" si="18"/>
        <v>0.96621621621621623</v>
      </c>
      <c r="Z66">
        <v>829</v>
      </c>
      <c r="AA66" s="2">
        <f t="shared" si="22"/>
        <v>0.60688140556368964</v>
      </c>
      <c r="AB66" s="2">
        <v>100.1</v>
      </c>
      <c r="AC66" s="2">
        <f t="shared" si="23"/>
        <v>0.96621621621621623</v>
      </c>
      <c r="AD66">
        <v>1.0123595505617979</v>
      </c>
      <c r="AE66" s="2">
        <v>67.3</v>
      </c>
      <c r="AF66" s="27">
        <f t="shared" si="24"/>
        <v>0.77983777520278097</v>
      </c>
      <c r="AG66" s="46">
        <v>0.72292682926829266</v>
      </c>
      <c r="AH66" s="46">
        <v>1.1589537223340041</v>
      </c>
      <c r="AI66" s="46">
        <v>1.0332326283987916</v>
      </c>
      <c r="AJ66" s="46">
        <v>0.6499032882011605</v>
      </c>
      <c r="AK66" s="46">
        <v>0.7293889427740059</v>
      </c>
      <c r="AL66" s="48">
        <v>1.339</v>
      </c>
      <c r="AM66" s="48">
        <v>0.98058252427184467</v>
      </c>
      <c r="AN66" s="48">
        <v>1.110352673492605</v>
      </c>
      <c r="AO66" s="2">
        <v>310.39999999999998</v>
      </c>
      <c r="AP66">
        <f t="shared" si="20"/>
        <v>0.8770839220118678</v>
      </c>
      <c r="AQ66" s="27">
        <f t="shared" si="21"/>
        <v>1.0163197242315965E-2</v>
      </c>
      <c r="AR66" s="52">
        <v>202</v>
      </c>
      <c r="AS66" s="52">
        <v>0.98058252400000001</v>
      </c>
    </row>
    <row r="67" spans="1:45" ht="14.4" x14ac:dyDescent="0.3">
      <c r="A67" s="5">
        <v>43952</v>
      </c>
      <c r="B67">
        <v>1.0436634717784881</v>
      </c>
      <c r="C67">
        <v>1.05586592178771</v>
      </c>
      <c r="D67">
        <v>1.0436170212765961</v>
      </c>
      <c r="E67">
        <v>1.00561797752809</v>
      </c>
      <c r="F67" s="25">
        <f t="shared" si="7"/>
        <v>1.1600893680000226</v>
      </c>
      <c r="G67" s="25">
        <f t="shared" si="8"/>
        <v>1.1847705061715255</v>
      </c>
      <c r="H67" s="25">
        <f t="shared" si="9"/>
        <v>1.2642561380369104</v>
      </c>
      <c r="I67" s="25">
        <f t="shared" si="10"/>
        <v>1.1425657885373297</v>
      </c>
      <c r="J67" s="25">
        <f t="shared" si="11"/>
        <v>1.1186965551511026</v>
      </c>
      <c r="K67" s="25">
        <f t="shared" si="12"/>
        <v>1.2176865492663809</v>
      </c>
      <c r="L67" s="25">
        <f t="shared" si="13"/>
        <v>1.3990109698464774</v>
      </c>
      <c r="M67" s="2">
        <v>99</v>
      </c>
      <c r="N67" s="27">
        <v>0.97058823529411764</v>
      </c>
      <c r="O67" s="26">
        <v>0.93415178571428581</v>
      </c>
      <c r="P67">
        <v>0.94655581947743472</v>
      </c>
      <c r="Q67" s="2">
        <v>150.6</v>
      </c>
      <c r="R67" s="2">
        <f t="shared" si="15"/>
        <v>1.0265848670756648</v>
      </c>
      <c r="S67" s="2">
        <v>158.30000000000001</v>
      </c>
      <c r="T67" s="2">
        <f t="shared" si="16"/>
        <v>1.0602813127930342</v>
      </c>
      <c r="U67" s="2">
        <v>805.25872793584995</v>
      </c>
      <c r="V67" s="2">
        <f t="shared" si="17"/>
        <v>0.88880858350739911</v>
      </c>
      <c r="W67">
        <v>0.99894514767932496</v>
      </c>
      <c r="X67" s="2">
        <v>98.3</v>
      </c>
      <c r="Y67" s="2">
        <f t="shared" si="18"/>
        <v>0.94884169884169889</v>
      </c>
      <c r="Z67">
        <v>762.25</v>
      </c>
      <c r="AA67" s="2">
        <f t="shared" si="22"/>
        <v>0.55801610541727675</v>
      </c>
      <c r="AB67" s="2">
        <v>98.3</v>
      </c>
      <c r="AC67" s="2">
        <f t="shared" si="23"/>
        <v>0.94884169884169889</v>
      </c>
      <c r="AD67">
        <v>1.00561797752809</v>
      </c>
      <c r="AE67" s="2">
        <v>71.5</v>
      </c>
      <c r="AF67" s="27">
        <f t="shared" si="24"/>
        <v>0.82850521436848201</v>
      </c>
      <c r="AG67" s="46">
        <v>0.71219512195121948</v>
      </c>
      <c r="AH67" s="46">
        <v>1.1609657947686116</v>
      </c>
      <c r="AI67" s="46">
        <v>1.0201409869083584</v>
      </c>
      <c r="AJ67" s="46">
        <v>0.64119922630560922</v>
      </c>
      <c r="AK67" s="46">
        <v>0.72550921435499516</v>
      </c>
      <c r="AL67" s="48">
        <v>1.339</v>
      </c>
      <c r="AM67" s="48">
        <v>0.96019417475728164</v>
      </c>
      <c r="AN67" s="48">
        <v>1.1456200227531286</v>
      </c>
      <c r="AO67" s="2">
        <v>327.3</v>
      </c>
      <c r="AP67">
        <f t="shared" si="20"/>
        <v>1.0544458762886599</v>
      </c>
      <c r="AQ67" s="27">
        <f t="shared" si="21"/>
        <v>1.2218376318524449E-2</v>
      </c>
      <c r="AR67" s="52">
        <v>197.8</v>
      </c>
      <c r="AS67" s="52">
        <v>0.96019417500000004</v>
      </c>
    </row>
    <row r="68" spans="1:45" ht="14.4" x14ac:dyDescent="0.3">
      <c r="A68" s="5">
        <v>43983</v>
      </c>
      <c r="B68">
        <v>1.0404685835995739</v>
      </c>
      <c r="C68">
        <v>1.05586592178771</v>
      </c>
      <c r="D68">
        <v>1.042553191489362</v>
      </c>
      <c r="E68">
        <v>1.002247191011236</v>
      </c>
      <c r="F68" s="25">
        <f t="shared" ref="F68:F99" si="25">VLOOKUP(YEAR($A68),_HOUT_INDEX_TAB,COLUMN(A67)+1,FALSE)+(VLOOKUP(YEAR($A68)+1,_HOUT_INDEX_TAB,COLUMN(A67)+1,FALSE)-VLOOKUP(YEAR($A68),_HOUT_INDEX_TAB,COLUMN(A67)+1,FALSE))*((MONTH($A68)-1)/12)</f>
        <v>1.194998301838829</v>
      </c>
      <c r="G68" s="25">
        <f t="shared" ref="G68:G99" si="26">VLOOKUP(YEAR($A68),_HOUT_INDEX_TAB,COLUMN(B67)+1,FALSE)+(VLOOKUP(YEAR($A68)+1,_HOUT_INDEX_TAB,COLUMN(B67)+1,FALSE)-VLOOKUP(YEAR($A68),_HOUT_INDEX_TAB,COLUMN(B67)+1,FALSE))*((MONTH($A68)-1)/12)</f>
        <v>1.2318541125912588</v>
      </c>
      <c r="H68" s="25">
        <f t="shared" ref="H68:H99" si="27">VLOOKUP(YEAR($A68),_HOUT_INDEX_TAB,COLUMN(C67)+1,FALSE)+(VLOOKUP(YEAR($A68)+1,_HOUT_INDEX_TAB,COLUMN(C67)+1,FALSE)-VLOOKUP(YEAR($A68),_HOUT_INDEX_TAB,COLUMN(C67)+1,FALSE))*((MONTH($A68)-1)/12)</f>
        <v>1.3236990680077614</v>
      </c>
      <c r="I68" s="25">
        <f t="shared" ref="I68:I99" si="28">VLOOKUP(YEAR($A68),_HOUT_INDEX_TAB,COLUMN(D67)+1,FALSE)+(VLOOKUP(YEAR($A68)+1,_HOUT_INDEX_TAB,COLUMN(D67)+1,FALSE)-VLOOKUP(YEAR($A68),_HOUT_INDEX_TAB,COLUMN(D67)+1,FALSE))*((MONTH($A68)-1)/12)</f>
        <v>1.161547196013988</v>
      </c>
      <c r="J68" s="25">
        <f t="shared" ref="J68:J99" si="29">VLOOKUP(YEAR($A68),_HOUT_INDEX_TAB,COLUMN(E67)+1,FALSE)+(VLOOKUP(YEAR($A68)+1,_HOUT_INDEX_TAB,COLUMN(E67)+1,FALSE)-VLOOKUP(YEAR($A68),_HOUT_INDEX_TAB,COLUMN(E67)+1,FALSE))*((MONTH($A68)-1)/12)</f>
        <v>1.1332978629258796</v>
      </c>
      <c r="K68" s="25">
        <f t="shared" ref="K68:K99" si="30">VLOOKUP(YEAR($A68),_HOUT_INDEX_TAB,COLUMN(F67)+1,FALSE)+(VLOOKUP(YEAR($A68)+1,_HOUT_INDEX_TAB,COLUMN(F67)+1,FALSE)-VLOOKUP(YEAR($A68),_HOUT_INDEX_TAB,COLUMN(F67)+1,FALSE))*((MONTH($A68)-1)/12)</f>
        <v>1.2395968362878029</v>
      </c>
      <c r="L68" s="25">
        <f t="shared" ref="L68:L99" si="31">VLOOKUP(YEAR($A68),_HOUT_INDEX_TAB,COLUMN(G67)+1,FALSE)+(VLOOKUP(YEAR($A68)+1,_HOUT_INDEX_TAB,COLUMN(G67)+1,FALSE)-VLOOKUP(YEAR($A68),_HOUT_INDEX_TAB,COLUMN(G67)+1,FALSE))*((MONTH($A68)-1)/12)</f>
        <v>1.4280031185669513</v>
      </c>
      <c r="M68" s="2">
        <v>99.6</v>
      </c>
      <c r="N68" s="27">
        <v>0.97647058823529409</v>
      </c>
      <c r="O68" s="26">
        <v>0.92857142857142871</v>
      </c>
      <c r="P68">
        <v>0.94180522565320657</v>
      </c>
      <c r="Q68" s="2">
        <v>150.6</v>
      </c>
      <c r="R68" s="2">
        <f t="shared" si="15"/>
        <v>1.0265848670756648</v>
      </c>
      <c r="S68" s="2">
        <v>158.30000000000001</v>
      </c>
      <c r="T68" s="2">
        <f t="shared" si="16"/>
        <v>1.0602813127930342</v>
      </c>
      <c r="U68" s="2">
        <v>815.43042049151995</v>
      </c>
      <c r="V68" s="2">
        <f t="shared" si="17"/>
        <v>0.90003564300845185</v>
      </c>
      <c r="W68">
        <v>0.99472573839662448</v>
      </c>
      <c r="X68" s="2">
        <v>97.5</v>
      </c>
      <c r="Y68" s="2">
        <f t="shared" si="18"/>
        <v>0.94111969111969118</v>
      </c>
      <c r="Z68">
        <v>836.4</v>
      </c>
      <c r="AA68" s="2">
        <f t="shared" si="22"/>
        <v>0.61229868228404094</v>
      </c>
      <c r="AB68" s="2">
        <v>97.5</v>
      </c>
      <c r="AC68" s="2">
        <f t="shared" ref="AC68" si="32">AB68/$AB$3</f>
        <v>0.94111969111969118</v>
      </c>
      <c r="AD68">
        <v>1.002247191011236</v>
      </c>
      <c r="AE68" s="2">
        <v>70.599999999999994</v>
      </c>
      <c r="AF68" s="27">
        <f t="shared" ref="AF68:AF99" si="33">AE68/$AE$3</f>
        <v>0.81807647740440326</v>
      </c>
      <c r="AG68" s="46">
        <v>0.69853658536585361</v>
      </c>
      <c r="AH68" s="46">
        <v>1.1488933601609657</v>
      </c>
      <c r="AI68" s="46">
        <v>0.98489425981873113</v>
      </c>
      <c r="AJ68" s="46">
        <v>0.62282398452611221</v>
      </c>
      <c r="AK68" s="46">
        <v>0.70126091173617844</v>
      </c>
      <c r="AL68" s="48">
        <v>1.339</v>
      </c>
      <c r="AM68" s="48">
        <v>1.0228155339805824</v>
      </c>
      <c r="AN68" s="48">
        <v>1.2133105802047781</v>
      </c>
      <c r="AO68" s="2">
        <v>333.4</v>
      </c>
      <c r="AP68">
        <f t="shared" si="20"/>
        <v>1.018637335777574</v>
      </c>
      <c r="AQ68" s="27">
        <f t="shared" si="21"/>
        <v>1.1803445374015922E-2</v>
      </c>
      <c r="AR68" s="52">
        <v>210.7</v>
      </c>
      <c r="AS68" s="52">
        <v>1.022815534</v>
      </c>
    </row>
    <row r="69" spans="1:45" ht="14.4" x14ac:dyDescent="0.3">
      <c r="A69" s="5">
        <v>44013</v>
      </c>
      <c r="B69">
        <v>1.0362087326943561</v>
      </c>
      <c r="C69">
        <v>1.0536312849162011</v>
      </c>
      <c r="D69">
        <v>1.042553191489362</v>
      </c>
      <c r="E69">
        <v>1.0011235955056179</v>
      </c>
      <c r="F69" s="25">
        <f t="shared" si="25"/>
        <v>1.2299072356776355</v>
      </c>
      <c r="G69" s="25">
        <f t="shared" si="26"/>
        <v>1.2789377190109918</v>
      </c>
      <c r="H69" s="25">
        <f t="shared" si="27"/>
        <v>1.3831419979786124</v>
      </c>
      <c r="I69" s="25">
        <f t="shared" si="28"/>
        <v>1.1805286034906466</v>
      </c>
      <c r="J69" s="25">
        <f t="shared" si="29"/>
        <v>1.1478991707006565</v>
      </c>
      <c r="K69" s="25">
        <f t="shared" si="30"/>
        <v>1.261507123309225</v>
      </c>
      <c r="L69" s="25">
        <f t="shared" si="31"/>
        <v>1.4569952672874251</v>
      </c>
      <c r="M69" s="2">
        <v>99.2</v>
      </c>
      <c r="N69" s="27">
        <v>0.97254901960784312</v>
      </c>
      <c r="O69" s="26">
        <v>0.921875</v>
      </c>
      <c r="P69">
        <v>0.94774346793349162</v>
      </c>
      <c r="Q69" s="2">
        <v>150.6</v>
      </c>
      <c r="R69" s="2">
        <f t="shared" ref="R69:R132" si="34">Q69/$Q$3</f>
        <v>1.0265848670756648</v>
      </c>
      <c r="S69" s="2">
        <v>158.30000000000001</v>
      </c>
      <c r="T69" s="2">
        <f t="shared" ref="T69:T132" si="35">S69/$S$3</f>
        <v>1.0602813127930342</v>
      </c>
      <c r="U69" s="2">
        <v>822.49418713634998</v>
      </c>
      <c r="V69" s="2">
        <f t="shared" ref="V69:V132" si="36">U69/$U$3</f>
        <v>0.90783231283395216</v>
      </c>
      <c r="W69">
        <v>0.98945147679324896</v>
      </c>
      <c r="X69" s="2">
        <v>99.2</v>
      </c>
      <c r="Y69" s="2">
        <f t="shared" ref="Y69:Y132" si="37">X69/$X$3</f>
        <v>0.95752895752895761</v>
      </c>
      <c r="Z69">
        <v>913</v>
      </c>
      <c r="AA69" s="2">
        <f t="shared" si="22"/>
        <v>0.66837481698389456</v>
      </c>
      <c r="AB69" s="2">
        <v>99.2</v>
      </c>
      <c r="AC69" s="2">
        <f t="shared" ref="AC69:AC132" si="38">AB69/$AB$3</f>
        <v>0.95752895752895761</v>
      </c>
      <c r="AD69">
        <v>1.0011235955056179</v>
      </c>
      <c r="AE69" s="2">
        <v>74.3</v>
      </c>
      <c r="AF69" s="27">
        <f t="shared" si="33"/>
        <v>0.86095017381228278</v>
      </c>
      <c r="AG69" s="46">
        <v>0.68195121951219517</v>
      </c>
      <c r="AH69" s="46">
        <v>1.1187122736418511</v>
      </c>
      <c r="AI69" s="46">
        <v>0.96978851963746227</v>
      </c>
      <c r="AJ69" s="46">
        <v>0.6063829787234043</v>
      </c>
      <c r="AK69" s="46">
        <v>0.69059165858389915</v>
      </c>
      <c r="AL69" s="48">
        <v>1.339</v>
      </c>
      <c r="AM69" s="48">
        <v>1.1101941747572814</v>
      </c>
      <c r="AN69" s="48">
        <v>1.2866894197952217</v>
      </c>
      <c r="AO69" s="2">
        <v>314.3</v>
      </c>
      <c r="AP69">
        <f t="shared" ref="AP69:AP132" si="39">AO69/AO68</f>
        <v>0.94271145770845843</v>
      </c>
      <c r="AQ69" s="27">
        <f t="shared" ref="AQ69:AQ129" si="40">AP69/$AE$3</f>
        <v>1.092365536162756E-2</v>
      </c>
      <c r="AR69" s="52">
        <v>228.7</v>
      </c>
      <c r="AS69" s="52">
        <v>1.1101941749999999</v>
      </c>
    </row>
    <row r="70" spans="1:45" ht="14.4" x14ac:dyDescent="0.3">
      <c r="A70" s="5">
        <v>44044</v>
      </c>
      <c r="B70">
        <v>1.0372736954206601</v>
      </c>
      <c r="C70">
        <v>1.0536312849162011</v>
      </c>
      <c r="D70">
        <v>1.0436170212765961</v>
      </c>
      <c r="E70">
        <v>1.0011235955056179</v>
      </c>
      <c r="F70" s="25">
        <f t="shared" si="25"/>
        <v>1.2648161695164419</v>
      </c>
      <c r="G70" s="25">
        <f t="shared" si="26"/>
        <v>1.3260213254307249</v>
      </c>
      <c r="H70" s="25">
        <f t="shared" si="27"/>
        <v>1.4425849279494636</v>
      </c>
      <c r="I70" s="25">
        <f t="shared" si="28"/>
        <v>1.1995100109673049</v>
      </c>
      <c r="J70" s="25">
        <f t="shared" si="29"/>
        <v>1.1625004784754336</v>
      </c>
      <c r="K70" s="25">
        <f t="shared" si="30"/>
        <v>1.2834174103306473</v>
      </c>
      <c r="L70" s="25">
        <f t="shared" si="31"/>
        <v>1.4859874160078992</v>
      </c>
      <c r="M70" s="2">
        <v>97.7</v>
      </c>
      <c r="N70" s="27">
        <v>0.957843137254902</v>
      </c>
      <c r="O70" s="26">
        <v>0.92299107142857151</v>
      </c>
      <c r="P70">
        <v>0.95130641330166266</v>
      </c>
      <c r="Q70" s="2">
        <v>139</v>
      </c>
      <c r="R70" s="2">
        <f t="shared" si="34"/>
        <v>0.9475119291070212</v>
      </c>
      <c r="S70" s="2">
        <v>158.30000000000001</v>
      </c>
      <c r="T70" s="2">
        <f t="shared" si="35"/>
        <v>1.0602813127930342</v>
      </c>
      <c r="U70" s="2">
        <v>719.47685738881898</v>
      </c>
      <c r="V70" s="2">
        <f t="shared" si="36"/>
        <v>0.79412638981424921</v>
      </c>
      <c r="W70">
        <v>0.99156118143459915</v>
      </c>
      <c r="X70" s="2">
        <v>98.4</v>
      </c>
      <c r="Y70" s="2">
        <f t="shared" si="37"/>
        <v>0.94980694980694991</v>
      </c>
      <c r="Z70">
        <v>941</v>
      </c>
      <c r="AA70" s="2">
        <f t="shared" si="22"/>
        <v>0.68887262079062961</v>
      </c>
      <c r="AB70" s="2">
        <v>98.4</v>
      </c>
      <c r="AC70" s="2">
        <f t="shared" si="38"/>
        <v>0.94980694980694991</v>
      </c>
      <c r="AD70">
        <v>1.0011235955056179</v>
      </c>
      <c r="AE70" s="2">
        <v>68.8</v>
      </c>
      <c r="AF70" s="27">
        <f t="shared" si="33"/>
        <v>0.79721900347624564</v>
      </c>
      <c r="AG70" s="46">
        <v>0.67317073170731712</v>
      </c>
      <c r="AH70" s="46">
        <v>1.1277665995975854</v>
      </c>
      <c r="AI70" s="46">
        <v>0.98892245720040284</v>
      </c>
      <c r="AJ70" s="46">
        <v>0.59090909090909094</v>
      </c>
      <c r="AK70" s="46">
        <v>0.69835111542192052</v>
      </c>
      <c r="AL70" s="48">
        <v>1.339</v>
      </c>
      <c r="AM70" s="48">
        <v>1.2344660194174757</v>
      </c>
      <c r="AN70" s="48">
        <v>1.5682593856655289</v>
      </c>
      <c r="AO70" s="2">
        <v>330.1</v>
      </c>
      <c r="AP70">
        <f t="shared" si="39"/>
        <v>1.050270442252625</v>
      </c>
      <c r="AQ70" s="27">
        <f t="shared" si="40"/>
        <v>1.2169993537110371E-2</v>
      </c>
      <c r="AR70" s="52">
        <v>254.3</v>
      </c>
      <c r="AS70" s="52">
        <v>1.2344660190000001</v>
      </c>
    </row>
    <row r="71" spans="1:45" ht="14.4" x14ac:dyDescent="0.3">
      <c r="A71" s="5">
        <v>44075</v>
      </c>
      <c r="B71">
        <v>1.0372736954206601</v>
      </c>
      <c r="C71">
        <v>1.0536312849162011</v>
      </c>
      <c r="D71">
        <v>1.05</v>
      </c>
      <c r="E71">
        <v>1</v>
      </c>
      <c r="F71" s="25">
        <f t="shared" si="25"/>
        <v>1.2997251033552484</v>
      </c>
      <c r="G71" s="25">
        <f t="shared" si="26"/>
        <v>1.3731049318504582</v>
      </c>
      <c r="H71" s="25">
        <f t="shared" si="27"/>
        <v>1.5020278579203146</v>
      </c>
      <c r="I71" s="25">
        <f t="shared" si="28"/>
        <v>1.2184914184439632</v>
      </c>
      <c r="J71" s="25">
        <f t="shared" si="29"/>
        <v>1.1771017862502107</v>
      </c>
      <c r="K71" s="25">
        <f t="shared" si="30"/>
        <v>1.3053276973520693</v>
      </c>
      <c r="L71" s="25">
        <f t="shared" si="31"/>
        <v>1.514979564728373</v>
      </c>
      <c r="M71" s="2">
        <v>98.6</v>
      </c>
      <c r="N71" s="27">
        <v>0.96666666666666656</v>
      </c>
      <c r="O71" s="26">
        <v>0.92857142857142871</v>
      </c>
      <c r="P71">
        <v>0.95249406175771967</v>
      </c>
      <c r="Q71" s="2">
        <v>138.1</v>
      </c>
      <c r="R71" s="2">
        <f t="shared" si="34"/>
        <v>0.94137695978186775</v>
      </c>
      <c r="S71" s="2">
        <v>158.30000000000001</v>
      </c>
      <c r="T71" s="2">
        <f t="shared" si="35"/>
        <v>1.0602813127930342</v>
      </c>
      <c r="U71" s="2">
        <v>606.81693548691999</v>
      </c>
      <c r="V71" s="2">
        <f t="shared" si="36"/>
        <v>0.66977740466216518</v>
      </c>
      <c r="W71">
        <v>0.98945147679324896</v>
      </c>
      <c r="X71" s="2">
        <v>100.8</v>
      </c>
      <c r="Y71" s="2">
        <f t="shared" si="37"/>
        <v>0.97297297297297303</v>
      </c>
      <c r="Z71">
        <v>941</v>
      </c>
      <c r="AA71" s="2">
        <f t="shared" si="22"/>
        <v>0.68887262079062961</v>
      </c>
      <c r="AB71" s="2">
        <v>100.8</v>
      </c>
      <c r="AC71" s="2">
        <f t="shared" si="38"/>
        <v>0.97297297297297303</v>
      </c>
      <c r="AD71">
        <v>1</v>
      </c>
      <c r="AE71" s="2">
        <v>68.7</v>
      </c>
      <c r="AF71" s="27">
        <f t="shared" si="33"/>
        <v>0.79606025492468135</v>
      </c>
      <c r="AG71" s="46">
        <v>0.66829268292682931</v>
      </c>
      <c r="AH71" s="46">
        <v>1.1448692152917503</v>
      </c>
      <c r="AI71" s="46">
        <v>0.99295065458207454</v>
      </c>
      <c r="AJ71" s="46">
        <v>0.5831721470019342</v>
      </c>
      <c r="AK71" s="46">
        <v>0.68671193016488852</v>
      </c>
      <c r="AL71" s="48">
        <v>1.339</v>
      </c>
      <c r="AM71" s="48">
        <v>1.3509708737864079</v>
      </c>
      <c r="AN71" s="48">
        <v>1.7332195676905573</v>
      </c>
      <c r="AO71" s="2">
        <v>370.3</v>
      </c>
      <c r="AP71">
        <f t="shared" si="39"/>
        <v>1.1217812784004846</v>
      </c>
      <c r="AQ71" s="27">
        <f t="shared" si="40"/>
        <v>1.2998624315185222E-2</v>
      </c>
      <c r="AR71" s="52">
        <v>278.3</v>
      </c>
      <c r="AS71" s="52">
        <v>1.3509708739999999</v>
      </c>
    </row>
    <row r="72" spans="1:45" ht="14.4" x14ac:dyDescent="0.3">
      <c r="A72" s="5">
        <v>44105</v>
      </c>
      <c r="B72">
        <v>1.0372736954206601</v>
      </c>
      <c r="C72">
        <v>1.0547486033519551</v>
      </c>
      <c r="D72">
        <v>1.05</v>
      </c>
      <c r="E72">
        <v>1.003370786516854</v>
      </c>
      <c r="F72" s="25">
        <f t="shared" si="25"/>
        <v>1.3346340371940548</v>
      </c>
      <c r="G72" s="25">
        <f t="shared" si="26"/>
        <v>1.4201885382701913</v>
      </c>
      <c r="H72" s="25">
        <f t="shared" si="27"/>
        <v>1.5614707878911656</v>
      </c>
      <c r="I72" s="25">
        <f t="shared" si="28"/>
        <v>1.2374728259206216</v>
      </c>
      <c r="J72" s="25">
        <f t="shared" si="29"/>
        <v>1.1917030940249878</v>
      </c>
      <c r="K72" s="25">
        <f t="shared" si="30"/>
        <v>1.3272379843734914</v>
      </c>
      <c r="L72" s="25">
        <f t="shared" si="31"/>
        <v>1.5439717134488469</v>
      </c>
      <c r="M72" s="2">
        <v>99.9</v>
      </c>
      <c r="N72" s="27">
        <v>0.97941176470588243</v>
      </c>
      <c r="O72" s="26">
        <v>0.93526785714285721</v>
      </c>
      <c r="P72">
        <v>0.9572446555819476</v>
      </c>
      <c r="Q72" s="2">
        <v>128.4</v>
      </c>
      <c r="R72" s="2">
        <f t="shared" si="34"/>
        <v>0.87525562372188148</v>
      </c>
      <c r="S72" s="2">
        <v>158.30000000000001</v>
      </c>
      <c r="T72" s="2">
        <f t="shared" si="35"/>
        <v>1.0602813127930342</v>
      </c>
      <c r="U72" s="2">
        <v>766.84371280081405</v>
      </c>
      <c r="V72" s="2">
        <f t="shared" si="36"/>
        <v>0.84640780720646025</v>
      </c>
      <c r="W72">
        <v>0.98523206751054859</v>
      </c>
      <c r="X72" s="2">
        <v>101.9</v>
      </c>
      <c r="Y72" s="2">
        <f t="shared" si="37"/>
        <v>0.98359073359073368</v>
      </c>
      <c r="Z72">
        <v>912</v>
      </c>
      <c r="AA72" s="2">
        <f t="shared" si="22"/>
        <v>0.66764275256222549</v>
      </c>
      <c r="AB72" s="2">
        <v>101.9</v>
      </c>
      <c r="AC72" s="2">
        <f t="shared" si="38"/>
        <v>0.98359073359073368</v>
      </c>
      <c r="AD72">
        <v>1.003370786516854</v>
      </c>
      <c r="AE72" s="2">
        <v>64.900000000000006</v>
      </c>
      <c r="AF72" s="27">
        <f t="shared" si="33"/>
        <v>0.75202780996523766</v>
      </c>
      <c r="AG72" s="46">
        <v>0.66926829268292676</v>
      </c>
      <c r="AH72" s="46">
        <v>1.124748490945674</v>
      </c>
      <c r="AI72" s="46">
        <v>1.0251762336354482</v>
      </c>
      <c r="AJ72" s="46">
        <v>0.57833655705996123</v>
      </c>
      <c r="AK72" s="46">
        <v>0.6857419980601358</v>
      </c>
      <c r="AL72" s="48">
        <v>1.3459999999999999</v>
      </c>
      <c r="AM72" s="48">
        <v>1.3101941747572814</v>
      </c>
      <c r="AN72" s="48">
        <v>1.7821387940841866</v>
      </c>
      <c r="AO72" s="2">
        <v>371.5</v>
      </c>
      <c r="AP72">
        <f t="shared" si="39"/>
        <v>1.0032406157169862</v>
      </c>
      <c r="AQ72" s="27">
        <f t="shared" si="40"/>
        <v>1.1625036103325449E-2</v>
      </c>
      <c r="AR72" s="52">
        <v>269.89999999999998</v>
      </c>
      <c r="AS72" s="52">
        <v>1.3101941749999999</v>
      </c>
    </row>
    <row r="73" spans="1:45" ht="14.4" x14ac:dyDescent="0.3">
      <c r="A73" s="5">
        <v>44136</v>
      </c>
      <c r="B73">
        <v>1.0362087326943561</v>
      </c>
      <c r="C73">
        <v>1.0547486033519551</v>
      </c>
      <c r="D73">
        <v>1.0478723404255319</v>
      </c>
      <c r="E73">
        <v>1.0044943820224721</v>
      </c>
      <c r="F73" s="25">
        <f t="shared" si="25"/>
        <v>1.3695429710328613</v>
      </c>
      <c r="G73" s="25">
        <f t="shared" si="26"/>
        <v>1.4672721446899244</v>
      </c>
      <c r="H73" s="25">
        <f t="shared" si="27"/>
        <v>1.6209137178620168</v>
      </c>
      <c r="I73" s="25">
        <f t="shared" si="28"/>
        <v>1.2564542333972799</v>
      </c>
      <c r="J73" s="25">
        <f t="shared" si="29"/>
        <v>1.2063044017997648</v>
      </c>
      <c r="K73" s="25">
        <f t="shared" si="30"/>
        <v>1.3491482713949134</v>
      </c>
      <c r="L73" s="25">
        <f t="shared" si="31"/>
        <v>1.5729638621693207</v>
      </c>
      <c r="M73" s="2">
        <v>100.1</v>
      </c>
      <c r="N73" s="27">
        <v>0.9813725490196078</v>
      </c>
      <c r="O73" s="26">
        <v>0.94754464285714302</v>
      </c>
      <c r="P73">
        <v>0.96199524940617576</v>
      </c>
      <c r="Q73" s="2">
        <v>127.1</v>
      </c>
      <c r="R73" s="2">
        <f t="shared" si="34"/>
        <v>0.86639400136332656</v>
      </c>
      <c r="S73" s="2">
        <v>158.30000000000001</v>
      </c>
      <c r="T73" s="2">
        <f t="shared" si="35"/>
        <v>1.0602813127930342</v>
      </c>
      <c r="U73" s="2">
        <v>822.58707195376201</v>
      </c>
      <c r="V73" s="2">
        <f t="shared" si="36"/>
        <v>0.90793483494284621</v>
      </c>
      <c r="W73">
        <v>0.98839662447257393</v>
      </c>
      <c r="X73" s="2">
        <v>101.3</v>
      </c>
      <c r="Y73" s="2">
        <f t="shared" si="37"/>
        <v>0.97779922779922779</v>
      </c>
      <c r="Z73">
        <v>963.6</v>
      </c>
      <c r="AA73" s="2">
        <f t="shared" si="22"/>
        <v>0.70541727672035137</v>
      </c>
      <c r="AB73" s="2">
        <v>101.3</v>
      </c>
      <c r="AC73" s="2">
        <f t="shared" si="38"/>
        <v>0.97779922779922779</v>
      </c>
      <c r="AD73">
        <v>1.0044943820224721</v>
      </c>
      <c r="AE73" s="2">
        <v>67.7</v>
      </c>
      <c r="AF73" s="27">
        <f t="shared" si="33"/>
        <v>0.78447276940903832</v>
      </c>
      <c r="AG73" s="46">
        <v>0.67414634146341457</v>
      </c>
      <c r="AH73" s="46">
        <v>1.1338028169014085</v>
      </c>
      <c r="AI73" s="46">
        <v>1.0392749244712991</v>
      </c>
      <c r="AJ73" s="46">
        <v>0.58897485493230173</v>
      </c>
      <c r="AK73" s="46">
        <v>0.68962172647914644</v>
      </c>
      <c r="AL73" s="48">
        <v>1.3759999999999999</v>
      </c>
      <c r="AM73" s="48">
        <v>1.2582524271844659</v>
      </c>
      <c r="AN73" s="48">
        <v>1.7525597269624573</v>
      </c>
      <c r="AO73" s="2">
        <v>377.5</v>
      </c>
      <c r="AP73">
        <f t="shared" si="39"/>
        <v>1.0161507402422612</v>
      </c>
      <c r="AQ73" s="27">
        <f t="shared" si="40"/>
        <v>1.177463198426722E-2</v>
      </c>
      <c r="AR73" s="52">
        <v>259.2</v>
      </c>
      <c r="AS73" s="52">
        <v>1.258252427</v>
      </c>
    </row>
    <row r="74" spans="1:45" ht="14.4" x14ac:dyDescent="0.3">
      <c r="A74" s="5">
        <v>44166</v>
      </c>
      <c r="B74">
        <v>1.0362087326943561</v>
      </c>
      <c r="C74">
        <v>1.05586592178771</v>
      </c>
      <c r="D74">
        <v>1.0478723404255319</v>
      </c>
      <c r="E74">
        <v>1.0067415730337079</v>
      </c>
      <c r="F74" s="25">
        <f t="shared" si="25"/>
        <v>1.4044519048716675</v>
      </c>
      <c r="G74" s="25">
        <f t="shared" si="26"/>
        <v>1.5143557511096577</v>
      </c>
      <c r="H74" s="25">
        <f t="shared" si="27"/>
        <v>1.6803566478328675</v>
      </c>
      <c r="I74" s="25">
        <f t="shared" si="28"/>
        <v>1.2754356408739385</v>
      </c>
      <c r="J74" s="25">
        <f t="shared" si="29"/>
        <v>1.2209057095745419</v>
      </c>
      <c r="K74" s="25">
        <f t="shared" si="30"/>
        <v>1.3710585584163355</v>
      </c>
      <c r="L74" s="25">
        <f t="shared" si="31"/>
        <v>1.6019560108897946</v>
      </c>
      <c r="M74" s="2">
        <v>101.2</v>
      </c>
      <c r="N74" s="27">
        <v>0.99215686274509807</v>
      </c>
      <c r="O74" s="26">
        <v>0.96205357142857151</v>
      </c>
      <c r="P74">
        <v>0.97387173396674576</v>
      </c>
      <c r="Q74" s="2">
        <v>125.7</v>
      </c>
      <c r="R74" s="2">
        <f t="shared" si="34"/>
        <v>0.85685071574642135</v>
      </c>
      <c r="S74" s="2">
        <v>158.30000000000001</v>
      </c>
      <c r="T74" s="2">
        <f t="shared" si="35"/>
        <v>1.0602813127930342</v>
      </c>
      <c r="U74" s="2">
        <v>842.78407219159999</v>
      </c>
      <c r="V74" s="2">
        <f t="shared" si="36"/>
        <v>0.93022738086595158</v>
      </c>
      <c r="W74">
        <v>0.98734177215189867</v>
      </c>
      <c r="X74" s="2">
        <v>104.1</v>
      </c>
      <c r="Y74" s="2">
        <f t="shared" si="37"/>
        <v>1.0048262548262548</v>
      </c>
      <c r="Z74">
        <v>1045</v>
      </c>
      <c r="AA74" s="2">
        <f t="shared" si="22"/>
        <v>0.76500732064421673</v>
      </c>
      <c r="AB74" s="2">
        <v>104.1</v>
      </c>
      <c r="AC74" s="2">
        <f t="shared" si="38"/>
        <v>1.0048262548262548</v>
      </c>
      <c r="AD74">
        <v>1.0067415730337079</v>
      </c>
      <c r="AE74" s="2">
        <v>70.3</v>
      </c>
      <c r="AF74" s="27">
        <f t="shared" si="33"/>
        <v>0.8146002317497103</v>
      </c>
      <c r="AG74" s="46">
        <v>0.68878048780487799</v>
      </c>
      <c r="AH74" s="46">
        <v>1.1659959758551308</v>
      </c>
      <c r="AI74" s="46">
        <v>1.042296072507553</v>
      </c>
      <c r="AJ74" s="46">
        <v>0.6083172147001934</v>
      </c>
      <c r="AK74" s="46">
        <v>0.68865179437439383</v>
      </c>
      <c r="AL74" s="48">
        <v>1.3759999999999999</v>
      </c>
      <c r="AM74" s="48">
        <v>1.2368932038834952</v>
      </c>
      <c r="AN74" s="48">
        <v>1.7116040955631397</v>
      </c>
      <c r="AO74" s="2">
        <v>471.6</v>
      </c>
      <c r="AP74">
        <f t="shared" si="39"/>
        <v>1.2492715231788081</v>
      </c>
      <c r="AQ74" s="27">
        <f t="shared" si="40"/>
        <v>1.4475915679939839E-2</v>
      </c>
      <c r="AR74" s="52">
        <v>254.8</v>
      </c>
      <c r="AS74" s="52">
        <v>1.236893204</v>
      </c>
    </row>
    <row r="75" spans="1:45" ht="14.4" x14ac:dyDescent="0.3">
      <c r="A75" s="5">
        <v>44197</v>
      </c>
      <c r="B75">
        <v>1.0383386581469649</v>
      </c>
      <c r="C75">
        <v>1.063687150837989</v>
      </c>
      <c r="D75">
        <v>1.0478723404255319</v>
      </c>
      <c r="E75">
        <v>1.014606741573034</v>
      </c>
      <c r="F75" s="25">
        <f t="shared" si="25"/>
        <v>1.4393608387104739</v>
      </c>
      <c r="G75" s="25">
        <f t="shared" si="26"/>
        <v>1.5614393575293908</v>
      </c>
      <c r="H75" s="25">
        <f t="shared" si="27"/>
        <v>1.7397995778037187</v>
      </c>
      <c r="I75" s="25">
        <f t="shared" si="28"/>
        <v>1.2944170483505968</v>
      </c>
      <c r="J75" s="25">
        <f t="shared" si="29"/>
        <v>1.235507017349319</v>
      </c>
      <c r="K75" s="25">
        <f t="shared" si="30"/>
        <v>1.3929688454377576</v>
      </c>
      <c r="L75" s="25">
        <f t="shared" si="31"/>
        <v>1.6309481596102684</v>
      </c>
      <c r="M75" s="2">
        <v>103.1</v>
      </c>
      <c r="N75" s="27">
        <v>1.0107843137254902</v>
      </c>
      <c r="O75" s="26">
        <v>0.97656250000000011</v>
      </c>
      <c r="P75">
        <v>1.0071258907363421</v>
      </c>
      <c r="Q75" s="2">
        <v>125.7</v>
      </c>
      <c r="R75" s="2">
        <f t="shared" si="34"/>
        <v>0.85685071574642135</v>
      </c>
      <c r="S75" s="2">
        <v>158.30000000000001</v>
      </c>
      <c r="T75" s="2">
        <f t="shared" si="35"/>
        <v>1.0602813127930342</v>
      </c>
      <c r="U75" s="2">
        <v>862.09944162732495</v>
      </c>
      <c r="V75" s="2">
        <f t="shared" si="36"/>
        <v>0.95154682212440944</v>
      </c>
      <c r="W75">
        <v>0.98417721518987344</v>
      </c>
      <c r="X75" s="2">
        <v>104.3</v>
      </c>
      <c r="Y75" s="2">
        <f t="shared" si="37"/>
        <v>1.0067567567567568</v>
      </c>
      <c r="Z75">
        <v>1256.75</v>
      </c>
      <c r="AA75" s="2">
        <f t="shared" si="22"/>
        <v>0.92002196193265007</v>
      </c>
      <c r="AB75" s="2">
        <v>104.3</v>
      </c>
      <c r="AC75" s="2">
        <f t="shared" si="38"/>
        <v>1.0067567567567568</v>
      </c>
      <c r="AD75">
        <v>1.014606741573034</v>
      </c>
      <c r="AE75" s="2">
        <v>69.400000000000006</v>
      </c>
      <c r="AF75" s="27">
        <f t="shared" si="33"/>
        <v>0.80417149478563166</v>
      </c>
      <c r="AG75" s="46">
        <v>0.70634146341463422</v>
      </c>
      <c r="AH75" s="46">
        <v>1.1599597585513077</v>
      </c>
      <c r="AI75" s="46">
        <v>1.0030211480362536</v>
      </c>
      <c r="AJ75" s="46">
        <v>0.63346228239845259</v>
      </c>
      <c r="AK75" s="46">
        <v>0.70999030067895252</v>
      </c>
      <c r="AL75" s="48">
        <v>1.421</v>
      </c>
      <c r="AM75" s="48">
        <v>1.3422330097087378</v>
      </c>
      <c r="AN75" s="48">
        <v>1.8668941979522182</v>
      </c>
      <c r="AO75" s="2">
        <v>576.70000000000005</v>
      </c>
      <c r="AP75">
        <f t="shared" si="39"/>
        <v>1.2228583545377438</v>
      </c>
      <c r="AQ75" s="27">
        <f t="shared" si="40"/>
        <v>1.4169853470889268E-2</v>
      </c>
      <c r="AR75" s="55">
        <v>276.5</v>
      </c>
      <c r="AS75" s="55">
        <v>1.3422330099999999</v>
      </c>
    </row>
    <row r="76" spans="1:45" ht="14.4" x14ac:dyDescent="0.3">
      <c r="A76" s="5">
        <v>44228</v>
      </c>
      <c r="B76">
        <v>1.0404685835995739</v>
      </c>
      <c r="C76">
        <v>1.068156424581006</v>
      </c>
      <c r="D76">
        <v>1.048936170212766</v>
      </c>
      <c r="E76">
        <v>1.024719101123595</v>
      </c>
      <c r="F76" s="25">
        <f t="shared" si="25"/>
        <v>1.4188873503406267</v>
      </c>
      <c r="G76" s="25">
        <f t="shared" si="26"/>
        <v>1.5355493038088102</v>
      </c>
      <c r="H76" s="25">
        <f t="shared" si="27"/>
        <v>1.7065301996993387</v>
      </c>
      <c r="I76" s="25">
        <f t="shared" si="28"/>
        <v>1.2778442155016831</v>
      </c>
      <c r="J76" s="25">
        <f t="shared" si="29"/>
        <v>1.2227782904721096</v>
      </c>
      <c r="K76" s="25">
        <f t="shared" si="30"/>
        <v>1.3787395895666004</v>
      </c>
      <c r="L76" s="25">
        <f t="shared" si="31"/>
        <v>1.6127849133478209</v>
      </c>
      <c r="M76" s="2">
        <v>106.9</v>
      </c>
      <c r="N76" s="27">
        <v>1.0480392156862746</v>
      </c>
      <c r="O76" s="26">
        <v>0.9888392857142857</v>
      </c>
      <c r="P76">
        <v>1.0380047505938239</v>
      </c>
      <c r="Q76" s="2">
        <v>126.4</v>
      </c>
      <c r="R76" s="2">
        <f t="shared" si="34"/>
        <v>0.86162235855487401</v>
      </c>
      <c r="S76" s="2">
        <v>158.30000000000001</v>
      </c>
      <c r="T76" s="2">
        <f t="shared" si="35"/>
        <v>1.0602813127930342</v>
      </c>
      <c r="U76" s="2">
        <v>921.83054608578595</v>
      </c>
      <c r="V76" s="2">
        <f t="shared" si="36"/>
        <v>1.017475344850445</v>
      </c>
      <c r="W76">
        <v>0.99261603375527419</v>
      </c>
      <c r="X76" s="2">
        <v>105.7</v>
      </c>
      <c r="Y76" s="2">
        <f t="shared" si="37"/>
        <v>1.0202702702702704</v>
      </c>
      <c r="Z76">
        <v>1507.5</v>
      </c>
      <c r="AA76" s="2">
        <f t="shared" si="22"/>
        <v>1.1035871156661787</v>
      </c>
      <c r="AB76" s="2">
        <v>105.7</v>
      </c>
      <c r="AC76" s="2">
        <f t="shared" si="38"/>
        <v>1.0202702702702704</v>
      </c>
      <c r="AD76">
        <v>1.024719101123595</v>
      </c>
      <c r="AE76" s="2">
        <v>71.3</v>
      </c>
      <c r="AF76" s="27">
        <f t="shared" si="33"/>
        <v>0.82618771726535345</v>
      </c>
      <c r="AG76" s="46">
        <v>0.7092682926829269</v>
      </c>
      <c r="AH76" s="46">
        <v>1.1599597585513077</v>
      </c>
      <c r="AI76" s="46">
        <v>1.0241691842900302</v>
      </c>
      <c r="AJ76" s="46">
        <v>0.63056092843326883</v>
      </c>
      <c r="AK76" s="46">
        <v>0.71580989330746847</v>
      </c>
      <c r="AL76" s="48">
        <v>1.4650000000000001</v>
      </c>
      <c r="AM76" s="48">
        <v>1.4407766990291262</v>
      </c>
      <c r="AN76" s="48">
        <v>1.9795221843003412</v>
      </c>
      <c r="AO76" s="2">
        <v>530.79999999999995</v>
      </c>
      <c r="AP76">
        <f t="shared" si="39"/>
        <v>0.92040922490029464</v>
      </c>
      <c r="AQ76" s="27">
        <f t="shared" si="40"/>
        <v>1.0665228561996462E-2</v>
      </c>
      <c r="AR76" s="52">
        <v>296.8</v>
      </c>
      <c r="AS76" s="52">
        <v>1.4407766989999999</v>
      </c>
    </row>
    <row r="77" spans="1:45" ht="14.4" x14ac:dyDescent="0.3">
      <c r="A77" s="5">
        <v>44256</v>
      </c>
      <c r="B77">
        <v>1.0436634717784881</v>
      </c>
      <c r="C77">
        <v>1.074860335195531</v>
      </c>
      <c r="D77">
        <v>1.0542553191489361</v>
      </c>
      <c r="E77">
        <v>1.048314606741573</v>
      </c>
      <c r="F77" s="25">
        <f t="shared" si="25"/>
        <v>1.3984138619707795</v>
      </c>
      <c r="G77" s="25">
        <f t="shared" si="26"/>
        <v>1.5096592500882293</v>
      </c>
      <c r="H77" s="25">
        <f t="shared" si="27"/>
        <v>1.6732608215949587</v>
      </c>
      <c r="I77" s="25">
        <f t="shared" si="28"/>
        <v>1.2612713826527693</v>
      </c>
      <c r="J77" s="25">
        <f t="shared" si="29"/>
        <v>1.2100495635949002</v>
      </c>
      <c r="K77" s="25">
        <f t="shared" si="30"/>
        <v>1.3645103336954429</v>
      </c>
      <c r="L77" s="25">
        <f t="shared" si="31"/>
        <v>1.5946216670853735</v>
      </c>
      <c r="M77" s="2">
        <v>112.4</v>
      </c>
      <c r="N77" s="27">
        <v>1.1019607843137256</v>
      </c>
      <c r="O77" s="26">
        <v>1.010044642857143</v>
      </c>
      <c r="P77">
        <v>1.086698337292161</v>
      </c>
      <c r="Q77" s="2">
        <v>124.4</v>
      </c>
      <c r="R77" s="2">
        <f t="shared" si="34"/>
        <v>0.84798909338786654</v>
      </c>
      <c r="S77" s="2">
        <v>158.30000000000001</v>
      </c>
      <c r="T77" s="2">
        <f t="shared" si="35"/>
        <v>1.0602813127930342</v>
      </c>
      <c r="U77" s="2">
        <v>946.90778967486403</v>
      </c>
      <c r="V77" s="2">
        <f t="shared" si="36"/>
        <v>1.0451544852055112</v>
      </c>
      <c r="W77">
        <v>1.001054852320675</v>
      </c>
      <c r="X77" s="2">
        <v>109.4</v>
      </c>
      <c r="Y77" s="2">
        <f t="shared" si="37"/>
        <v>1.0559845559845562</v>
      </c>
      <c r="Z77">
        <v>1853.2</v>
      </c>
      <c r="AA77" s="2">
        <f t="shared" si="22"/>
        <v>1.3566617862371888</v>
      </c>
      <c r="AB77" s="2">
        <v>109.4</v>
      </c>
      <c r="AC77" s="2">
        <f t="shared" si="38"/>
        <v>1.0559845559845562</v>
      </c>
      <c r="AD77">
        <v>1.048314606741573</v>
      </c>
      <c r="AE77" s="2">
        <v>72.8</v>
      </c>
      <c r="AF77" s="27">
        <f t="shared" si="33"/>
        <v>0.84356894553881812</v>
      </c>
      <c r="AG77" s="46">
        <v>0.72975609756097559</v>
      </c>
      <c r="AH77" s="46">
        <v>1.1629778672032192</v>
      </c>
      <c r="AI77" s="46">
        <v>1.0241691842900302</v>
      </c>
      <c r="AJ77" s="46">
        <v>0.66924564796905217</v>
      </c>
      <c r="AK77" s="46">
        <v>0.72647914645974787</v>
      </c>
      <c r="AL77" s="48">
        <v>1.506</v>
      </c>
      <c r="AM77" s="48">
        <v>1.5859223300970873</v>
      </c>
      <c r="AN77" s="48">
        <v>2.0961319681456199</v>
      </c>
      <c r="AO77" s="2">
        <v>574.20000000000005</v>
      </c>
      <c r="AP77">
        <f t="shared" si="39"/>
        <v>1.081763376036172</v>
      </c>
      <c r="AQ77" s="27">
        <f t="shared" si="40"/>
        <v>1.253491745117233E-2</v>
      </c>
      <c r="AR77" s="52">
        <v>326.7</v>
      </c>
      <c r="AS77" s="52">
        <v>1.58592233</v>
      </c>
    </row>
    <row r="78" spans="1:45" ht="14.4" x14ac:dyDescent="0.3">
      <c r="A78" s="5">
        <v>44287</v>
      </c>
      <c r="B78">
        <v>1.050053248136315</v>
      </c>
      <c r="C78">
        <v>1.0849162011173179</v>
      </c>
      <c r="D78">
        <v>1.056382978723404</v>
      </c>
      <c r="E78">
        <v>1.080898876404494</v>
      </c>
      <c r="F78" s="25">
        <f t="shared" si="25"/>
        <v>1.3779403736009324</v>
      </c>
      <c r="G78" s="25">
        <f t="shared" si="26"/>
        <v>1.4837691963676487</v>
      </c>
      <c r="H78" s="25">
        <f t="shared" si="27"/>
        <v>1.6399914434905785</v>
      </c>
      <c r="I78" s="25">
        <f t="shared" si="28"/>
        <v>1.2446985498038554</v>
      </c>
      <c r="J78" s="25">
        <f t="shared" si="29"/>
        <v>1.1973208367176909</v>
      </c>
      <c r="K78" s="25">
        <f t="shared" si="30"/>
        <v>1.3502810778242857</v>
      </c>
      <c r="L78" s="25">
        <f t="shared" si="31"/>
        <v>1.576458420822926</v>
      </c>
      <c r="M78" s="2">
        <v>113.9</v>
      </c>
      <c r="N78" s="27">
        <v>1.1166666666666667</v>
      </c>
      <c r="O78" s="26">
        <v>1.037946428571429</v>
      </c>
      <c r="P78">
        <v>1.1532066508313541</v>
      </c>
      <c r="Q78" s="2">
        <v>125.9</v>
      </c>
      <c r="R78" s="2">
        <f t="shared" si="34"/>
        <v>0.85821404226312215</v>
      </c>
      <c r="S78" s="2">
        <v>158.30000000000001</v>
      </c>
      <c r="T78" s="2">
        <f t="shared" si="35"/>
        <v>1.0602813127930342</v>
      </c>
      <c r="U78" s="2">
        <v>920.74558802726199</v>
      </c>
      <c r="V78" s="2">
        <f t="shared" si="36"/>
        <v>1.0162778166502435</v>
      </c>
      <c r="W78">
        <v>1.018987341772152</v>
      </c>
      <c r="X78" s="2">
        <v>113.4</v>
      </c>
      <c r="Y78" s="2">
        <f t="shared" si="37"/>
        <v>1.0945945945945947</v>
      </c>
      <c r="Z78">
        <v>2053</v>
      </c>
      <c r="AA78" s="2">
        <f t="shared" si="22"/>
        <v>1.5029282576866765</v>
      </c>
      <c r="AB78" s="2">
        <v>113.4</v>
      </c>
      <c r="AC78" s="2">
        <f t="shared" si="38"/>
        <v>1.0945945945945947</v>
      </c>
      <c r="AD78">
        <v>1.080898876404494</v>
      </c>
      <c r="AE78" s="2">
        <v>77.8</v>
      </c>
      <c r="AF78" s="27">
        <f t="shared" si="33"/>
        <v>0.90150637311703363</v>
      </c>
      <c r="AG78" s="46">
        <v>0.74048780487804888</v>
      </c>
      <c r="AH78" s="46">
        <v>1.1539235412474849</v>
      </c>
      <c r="AI78" s="46">
        <v>1.0372608257804632</v>
      </c>
      <c r="AJ78" s="46">
        <v>0.68568665377176019</v>
      </c>
      <c r="AK78" s="46">
        <v>0.71580989330746847</v>
      </c>
      <c r="AL78" s="48">
        <v>1.6659999999999999</v>
      </c>
      <c r="AM78" s="48">
        <v>1.8</v>
      </c>
      <c r="AN78" s="48">
        <v>2.3230944254835038</v>
      </c>
      <c r="AO78" s="2">
        <v>554.5</v>
      </c>
      <c r="AP78">
        <f t="shared" si="39"/>
        <v>0.96569139672587945</v>
      </c>
      <c r="AQ78" s="27">
        <f t="shared" si="40"/>
        <v>1.1189935072142288E-2</v>
      </c>
      <c r="AR78" s="52">
        <v>370.8</v>
      </c>
      <c r="AS78" s="52">
        <v>1.8</v>
      </c>
    </row>
    <row r="79" spans="1:45" ht="14.4" x14ac:dyDescent="0.3">
      <c r="A79" s="5">
        <v>44317</v>
      </c>
      <c r="B79">
        <v>1.054313099041533</v>
      </c>
      <c r="C79">
        <v>1.0938547486033521</v>
      </c>
      <c r="D79">
        <v>1.056382978723404</v>
      </c>
      <c r="E79">
        <v>1.110112359550562</v>
      </c>
      <c r="F79" s="25">
        <f t="shared" si="25"/>
        <v>1.3574668852310852</v>
      </c>
      <c r="G79" s="25">
        <f t="shared" si="26"/>
        <v>1.4578791426470681</v>
      </c>
      <c r="H79" s="25">
        <f t="shared" si="27"/>
        <v>1.6067220653861984</v>
      </c>
      <c r="I79" s="25">
        <f t="shared" si="28"/>
        <v>1.2281257169549418</v>
      </c>
      <c r="J79" s="25">
        <f t="shared" si="29"/>
        <v>1.1845921098404815</v>
      </c>
      <c r="K79" s="25">
        <f t="shared" si="30"/>
        <v>1.3360518219531285</v>
      </c>
      <c r="L79" s="25">
        <f t="shared" si="31"/>
        <v>1.5582951745604785</v>
      </c>
      <c r="M79" s="2">
        <v>116.1</v>
      </c>
      <c r="N79" s="27">
        <v>1.138235294117647</v>
      </c>
      <c r="O79" s="26">
        <v>1.060267857142857</v>
      </c>
      <c r="P79">
        <v>1.1876484560570071</v>
      </c>
      <c r="Q79" s="2">
        <v>149.4</v>
      </c>
      <c r="R79" s="2">
        <f t="shared" si="34"/>
        <v>1.0184049079754602</v>
      </c>
      <c r="S79" s="2">
        <v>158.30000000000001</v>
      </c>
      <c r="T79" s="2">
        <f t="shared" si="35"/>
        <v>1.0602813127930342</v>
      </c>
      <c r="U79" s="2">
        <v>926.25237721649</v>
      </c>
      <c r="V79" s="2">
        <f t="shared" si="36"/>
        <v>1.0223559643674347</v>
      </c>
      <c r="W79">
        <v>1.029535864978903</v>
      </c>
      <c r="X79" s="2">
        <v>117.3</v>
      </c>
      <c r="Y79" s="2">
        <f t="shared" si="37"/>
        <v>1.1322393822393824</v>
      </c>
      <c r="Z79">
        <v>1974.8</v>
      </c>
      <c r="AA79" s="2">
        <f t="shared" si="22"/>
        <v>1.4456808199121522</v>
      </c>
      <c r="AB79" s="2">
        <v>117.3</v>
      </c>
      <c r="AC79" s="2">
        <f t="shared" si="38"/>
        <v>1.1322393822393824</v>
      </c>
      <c r="AD79">
        <v>1.110112359550562</v>
      </c>
      <c r="AE79" s="2">
        <v>84.5</v>
      </c>
      <c r="AF79" s="27">
        <f t="shared" si="33"/>
        <v>0.97914252607184249</v>
      </c>
      <c r="AG79" s="46">
        <v>0.76487804878048782</v>
      </c>
      <c r="AH79" s="46">
        <v>1.1348088531187122</v>
      </c>
      <c r="AI79" s="46">
        <v>1.0181268882175227</v>
      </c>
      <c r="AJ79" s="46">
        <v>0.73307543520309471</v>
      </c>
      <c r="AK79" s="46">
        <v>0.74005819592628519</v>
      </c>
      <c r="AL79" s="48">
        <v>1.8140000000000001</v>
      </c>
      <c r="AM79" s="48">
        <v>2.0242718446601944</v>
      </c>
      <c r="AN79" s="48">
        <v>2.6052332195676904</v>
      </c>
      <c r="AO79" s="2">
        <v>577.1</v>
      </c>
      <c r="AP79">
        <f t="shared" si="39"/>
        <v>1.0407574391343553</v>
      </c>
      <c r="AQ79" s="27">
        <f t="shared" si="40"/>
        <v>1.2059761751267153E-2</v>
      </c>
      <c r="AR79" s="52">
        <v>417</v>
      </c>
      <c r="AS79" s="52">
        <v>2.0242718449999999</v>
      </c>
    </row>
    <row r="80" spans="1:45" ht="14.4" x14ac:dyDescent="0.3">
      <c r="A80" s="5">
        <v>44348</v>
      </c>
      <c r="B80">
        <v>1.059637912673056</v>
      </c>
      <c r="C80">
        <v>1.1050279329608941</v>
      </c>
      <c r="D80">
        <v>1.0574468085106381</v>
      </c>
      <c r="E80">
        <v>1.128089887640449</v>
      </c>
      <c r="F80" s="25">
        <f t="shared" si="25"/>
        <v>1.336993396861238</v>
      </c>
      <c r="G80" s="25">
        <f t="shared" si="26"/>
        <v>1.4319890889264875</v>
      </c>
      <c r="H80" s="25">
        <f t="shared" si="27"/>
        <v>1.5734526872818184</v>
      </c>
      <c r="I80" s="25">
        <f t="shared" si="28"/>
        <v>1.2115528841060281</v>
      </c>
      <c r="J80" s="25">
        <f t="shared" si="29"/>
        <v>1.1718633829632721</v>
      </c>
      <c r="K80" s="25">
        <f t="shared" si="30"/>
        <v>1.3218225660819714</v>
      </c>
      <c r="L80" s="25">
        <f t="shared" si="31"/>
        <v>1.540131928298031</v>
      </c>
      <c r="M80" s="2">
        <v>117.9</v>
      </c>
      <c r="N80" s="27">
        <v>1.1558823529411766</v>
      </c>
      <c r="O80" s="26">
        <v>1.081473214285714</v>
      </c>
      <c r="P80">
        <v>1.201900237529691</v>
      </c>
      <c r="Q80" s="2">
        <v>159.4</v>
      </c>
      <c r="R80" s="2">
        <f t="shared" si="34"/>
        <v>1.0865712338104978</v>
      </c>
      <c r="S80" s="2">
        <v>158.30000000000001</v>
      </c>
      <c r="T80" s="2">
        <f t="shared" si="35"/>
        <v>1.0602813127930342</v>
      </c>
      <c r="U80" s="2">
        <v>959.84769432905705</v>
      </c>
      <c r="V80" s="2">
        <f t="shared" si="36"/>
        <v>1.059436973463534</v>
      </c>
      <c r="W80">
        <v>1.046413502109705</v>
      </c>
      <c r="X80" s="2">
        <v>122.4</v>
      </c>
      <c r="Y80" s="2">
        <f t="shared" si="37"/>
        <v>1.1814671814671815</v>
      </c>
      <c r="Z80">
        <v>1828.25</v>
      </c>
      <c r="AA80" s="2">
        <f t="shared" si="22"/>
        <v>1.3383967789165447</v>
      </c>
      <c r="AB80" s="2">
        <v>122.4</v>
      </c>
      <c r="AC80" s="2">
        <f t="shared" si="38"/>
        <v>1.1814671814671815</v>
      </c>
      <c r="AD80">
        <v>1.128089887640449</v>
      </c>
      <c r="AE80" s="2">
        <v>91.1</v>
      </c>
      <c r="AF80" s="27">
        <f t="shared" si="33"/>
        <v>1.0556199304750868</v>
      </c>
      <c r="AG80" s="46">
        <v>0.77658536585365845</v>
      </c>
      <c r="AH80" s="46">
        <v>1.1579476861167002</v>
      </c>
      <c r="AI80" s="46">
        <v>1.0110775427995973</v>
      </c>
      <c r="AJ80" s="46">
        <v>0.75725338491295935</v>
      </c>
      <c r="AK80" s="46">
        <v>0.74878758486905928</v>
      </c>
      <c r="AL80" s="48">
        <v>2.0209999999999999</v>
      </c>
      <c r="AM80" s="48">
        <v>2.2878640776699029</v>
      </c>
      <c r="AN80" s="48">
        <v>2.8617747440273038</v>
      </c>
      <c r="AO80" s="2">
        <v>635.9</v>
      </c>
      <c r="AP80">
        <f t="shared" si="39"/>
        <v>1.1018887541154045</v>
      </c>
      <c r="AQ80" s="27">
        <f t="shared" si="40"/>
        <v>1.2768119978162278E-2</v>
      </c>
      <c r="AR80" s="52">
        <v>471.3</v>
      </c>
      <c r="AS80" s="52">
        <v>2.2878640780000001</v>
      </c>
    </row>
    <row r="81" spans="1:45" ht="14.4" x14ac:dyDescent="0.3">
      <c r="A81" s="5">
        <v>44378</v>
      </c>
      <c r="B81">
        <v>1.068157614483493</v>
      </c>
      <c r="C81">
        <v>1.1262569832402229</v>
      </c>
      <c r="D81">
        <v>1.068085106382979</v>
      </c>
      <c r="E81">
        <v>1.1539325842696631</v>
      </c>
      <c r="F81" s="25">
        <f t="shared" si="25"/>
        <v>1.3165199084913906</v>
      </c>
      <c r="G81" s="25">
        <f t="shared" si="26"/>
        <v>1.4060990352059068</v>
      </c>
      <c r="H81" s="25">
        <f t="shared" si="27"/>
        <v>1.5401833091774382</v>
      </c>
      <c r="I81" s="25">
        <f t="shared" si="28"/>
        <v>1.1949800512571143</v>
      </c>
      <c r="J81" s="25">
        <f t="shared" si="29"/>
        <v>1.1591346560860627</v>
      </c>
      <c r="K81" s="25">
        <f t="shared" si="30"/>
        <v>1.3075933102108142</v>
      </c>
      <c r="L81" s="25">
        <f t="shared" si="31"/>
        <v>1.5219686820355838</v>
      </c>
      <c r="M81" s="2">
        <v>120.251</v>
      </c>
      <c r="N81" s="27">
        <v>1.1789313725490196</v>
      </c>
      <c r="O81" s="26">
        <v>1.114955357142857</v>
      </c>
      <c r="P81">
        <v>1.2185273159144889</v>
      </c>
      <c r="Q81" s="2">
        <v>165.05</v>
      </c>
      <c r="R81" s="2">
        <f t="shared" si="34"/>
        <v>1.1250852079072939</v>
      </c>
      <c r="S81" s="2">
        <v>166.95</v>
      </c>
      <c r="T81" s="2">
        <f t="shared" si="35"/>
        <v>1.1182183523107836</v>
      </c>
      <c r="U81" s="2">
        <v>909.48058655</v>
      </c>
      <c r="V81" s="2">
        <f t="shared" si="36"/>
        <v>1.0038440116396734</v>
      </c>
      <c r="W81">
        <v>1.072784810126582</v>
      </c>
      <c r="X81" s="2">
        <v>125.006</v>
      </c>
      <c r="Y81" s="2">
        <f t="shared" si="37"/>
        <v>1.2066216216216217</v>
      </c>
      <c r="Z81">
        <v>1712</v>
      </c>
      <c r="AA81" s="2">
        <f t="shared" si="22"/>
        <v>1.253294289897511</v>
      </c>
      <c r="AB81" s="2">
        <v>125.006</v>
      </c>
      <c r="AC81" s="2">
        <f t="shared" si="38"/>
        <v>1.2066216216216217</v>
      </c>
      <c r="AD81">
        <v>1.1539325842696631</v>
      </c>
      <c r="AE81" s="2">
        <v>88.358999999999995</v>
      </c>
      <c r="AF81" s="27">
        <f t="shared" si="33"/>
        <v>1.0238586326767092</v>
      </c>
      <c r="AG81" s="46">
        <v>0.81853658536585372</v>
      </c>
      <c r="AH81" s="46">
        <v>1.1509054325955734</v>
      </c>
      <c r="AI81" s="46">
        <v>1.0090634441087614</v>
      </c>
      <c r="AJ81" s="46">
        <v>0.81818181818181812</v>
      </c>
      <c r="AK81" s="46">
        <v>0.80019398642095063</v>
      </c>
      <c r="AL81" s="48">
        <v>2.0783900000000002</v>
      </c>
      <c r="AM81" s="48">
        <v>2.0760000000000001</v>
      </c>
      <c r="AN81" s="48">
        <v>2.8785836177474402</v>
      </c>
      <c r="AO81" s="2">
        <v>648.06100000000004</v>
      </c>
      <c r="AP81">
        <f t="shared" si="39"/>
        <v>1.0191240761125964</v>
      </c>
      <c r="AQ81" s="27">
        <f t="shared" si="40"/>
        <v>1.1809085470597872E-2</v>
      </c>
      <c r="AR81" s="52">
        <v>427.65600000000001</v>
      </c>
      <c r="AS81" s="52">
        <v>2.0760000000000001</v>
      </c>
    </row>
    <row r="82" spans="1:45" ht="14.4" x14ac:dyDescent="0.3">
      <c r="A82" s="5">
        <v>44409</v>
      </c>
      <c r="B82">
        <v>1.0724174653887111</v>
      </c>
      <c r="C82">
        <v>1.1363128491620109</v>
      </c>
      <c r="D82">
        <v>1.0691489361702129</v>
      </c>
      <c r="E82">
        <v>1.1640449438202249</v>
      </c>
      <c r="F82" s="25">
        <f t="shared" si="25"/>
        <v>1.2960464201215434</v>
      </c>
      <c r="G82" s="25">
        <f t="shared" si="26"/>
        <v>1.380208981485326</v>
      </c>
      <c r="H82" s="25">
        <f t="shared" si="27"/>
        <v>1.5069139310730582</v>
      </c>
      <c r="I82" s="25">
        <f t="shared" si="28"/>
        <v>1.1784072184082004</v>
      </c>
      <c r="J82" s="25">
        <f t="shared" si="29"/>
        <v>1.1464059292088531</v>
      </c>
      <c r="K82" s="25">
        <f t="shared" si="30"/>
        <v>1.2933640543396567</v>
      </c>
      <c r="L82" s="25">
        <f t="shared" si="31"/>
        <v>1.5038054357731361</v>
      </c>
      <c r="M82" s="2">
        <v>124.321</v>
      </c>
      <c r="N82" s="27">
        <v>1.2188333333333332</v>
      </c>
      <c r="O82" s="26">
        <v>1.149553571428571</v>
      </c>
      <c r="P82">
        <v>1.23396674584323</v>
      </c>
      <c r="Q82" s="2">
        <v>165.05</v>
      </c>
      <c r="R82" s="2">
        <f t="shared" si="34"/>
        <v>1.1250852079072939</v>
      </c>
      <c r="S82" s="2">
        <v>167.66800000000001</v>
      </c>
      <c r="T82" s="2">
        <f t="shared" si="35"/>
        <v>1.1230274614869391</v>
      </c>
      <c r="U82" s="2">
        <v>879.07676894817496</v>
      </c>
      <c r="V82" s="2">
        <f t="shared" si="36"/>
        <v>0.97028563702240611</v>
      </c>
      <c r="W82">
        <v>1.084388185654009</v>
      </c>
      <c r="X82" s="2">
        <v>127.554</v>
      </c>
      <c r="Y82" s="2">
        <f t="shared" si="37"/>
        <v>1.2312162162162164</v>
      </c>
      <c r="Z82">
        <v>1738.8</v>
      </c>
      <c r="AA82" s="2">
        <f t="shared" si="22"/>
        <v>1.2729136163982431</v>
      </c>
      <c r="AB82" s="2">
        <v>127.554</v>
      </c>
      <c r="AC82" s="2">
        <f t="shared" si="38"/>
        <v>1.2312162162162164</v>
      </c>
      <c r="AD82">
        <v>1.1640449438202249</v>
      </c>
      <c r="AE82" s="2">
        <v>89.975999999999999</v>
      </c>
      <c r="AF82" s="27">
        <f t="shared" si="33"/>
        <v>1.0425955967555041</v>
      </c>
      <c r="AG82" s="46">
        <v>0.84487804878048778</v>
      </c>
      <c r="AH82" s="46">
        <v>1.1217303822937625</v>
      </c>
      <c r="AI82" s="46">
        <v>1.0302114803625377</v>
      </c>
      <c r="AJ82" s="46">
        <v>0.85493230174081236</v>
      </c>
      <c r="AK82" s="46">
        <v>0.82638215324927267</v>
      </c>
      <c r="AL82" s="48">
        <v>2.1362999999999999</v>
      </c>
      <c r="AM82" s="48">
        <v>1.5894077669902913</v>
      </c>
      <c r="AN82" s="48">
        <v>2.0014562002275311</v>
      </c>
      <c r="AO82" s="2">
        <v>636.86599999999999</v>
      </c>
      <c r="AP82">
        <f t="shared" si="39"/>
        <v>0.98272539159122363</v>
      </c>
      <c r="AQ82" s="27">
        <f t="shared" si="40"/>
        <v>1.1387316240918002E-2</v>
      </c>
      <c r="AR82" s="52">
        <v>327.41800000000001</v>
      </c>
      <c r="AS82" s="52">
        <v>1.589407767</v>
      </c>
    </row>
    <row r="83" spans="1:45" ht="14.4" x14ac:dyDescent="0.3">
      <c r="A83" s="5">
        <v>44440</v>
      </c>
      <c r="B83">
        <v>1.077742279020234</v>
      </c>
      <c r="C83">
        <v>1.1486033519553069</v>
      </c>
      <c r="D83">
        <v>1.076595744680851</v>
      </c>
      <c r="E83">
        <v>1.171910112359551</v>
      </c>
      <c r="F83" s="25">
        <f t="shared" si="25"/>
        <v>1.2755729317516962</v>
      </c>
      <c r="G83" s="25">
        <f t="shared" si="26"/>
        <v>1.3543189277647454</v>
      </c>
      <c r="H83" s="25">
        <f t="shared" si="27"/>
        <v>1.4736445529686781</v>
      </c>
      <c r="I83" s="25">
        <f t="shared" si="28"/>
        <v>1.1618343855592868</v>
      </c>
      <c r="J83" s="25">
        <f t="shared" si="29"/>
        <v>1.1336772023316437</v>
      </c>
      <c r="K83" s="25">
        <f t="shared" si="30"/>
        <v>1.2791347984684995</v>
      </c>
      <c r="L83" s="25">
        <f t="shared" si="31"/>
        <v>1.4856421895106888</v>
      </c>
      <c r="M83" s="2">
        <v>127.979</v>
      </c>
      <c r="N83" s="27">
        <v>1.2546960784313725</v>
      </c>
      <c r="O83" s="26">
        <v>1.1796875</v>
      </c>
      <c r="P83">
        <v>1.241092636579572</v>
      </c>
      <c r="Q83" s="2">
        <v>166.28</v>
      </c>
      <c r="R83" s="2">
        <f t="shared" si="34"/>
        <v>1.1334696659850034</v>
      </c>
      <c r="S83" s="2">
        <v>167.66800000000001</v>
      </c>
      <c r="T83" s="2">
        <f t="shared" si="35"/>
        <v>1.1230274614869391</v>
      </c>
      <c r="U83" s="2">
        <v>868.09367312913298</v>
      </c>
      <c r="V83" s="2">
        <f t="shared" si="36"/>
        <v>0.95816298687433299</v>
      </c>
      <c r="W83">
        <v>1.091772151898734</v>
      </c>
      <c r="X83" s="2">
        <v>128.94399999999999</v>
      </c>
      <c r="Y83" s="2">
        <f t="shared" si="37"/>
        <v>1.2446332046332045</v>
      </c>
      <c r="Z83">
        <v>1763</v>
      </c>
      <c r="AA83" s="2">
        <f t="shared" si="22"/>
        <v>1.2906295754026353</v>
      </c>
      <c r="AB83" s="2">
        <v>128.94399999999999</v>
      </c>
      <c r="AC83" s="2">
        <f t="shared" si="38"/>
        <v>1.2446332046332045</v>
      </c>
      <c r="AD83">
        <v>1.171910112359551</v>
      </c>
      <c r="AE83" s="2">
        <v>96.14</v>
      </c>
      <c r="AF83" s="27">
        <f t="shared" si="33"/>
        <v>1.1140208574739281</v>
      </c>
      <c r="AG83" s="46">
        <v>0.87024390243902439</v>
      </c>
      <c r="AH83" s="46">
        <v>1.1820925553319919</v>
      </c>
      <c r="AI83" s="46">
        <v>1.08257804632427</v>
      </c>
      <c r="AJ83" s="46">
        <v>0.89264990328820104</v>
      </c>
      <c r="AK83" s="46">
        <v>0.82347235693501464</v>
      </c>
      <c r="AL83" s="48">
        <v>2.3139400000000001</v>
      </c>
      <c r="AM83" s="48">
        <v>1.2681553398058252</v>
      </c>
      <c r="AN83" s="48">
        <v>1.8854721274175199</v>
      </c>
      <c r="AO83" s="2">
        <v>608.08100000000002</v>
      </c>
      <c r="AP83">
        <f t="shared" si="39"/>
        <v>0.95480210907789087</v>
      </c>
      <c r="AQ83" s="27">
        <f t="shared" si="40"/>
        <v>1.106375560924555E-2</v>
      </c>
      <c r="AR83" s="52">
        <v>261.24</v>
      </c>
      <c r="AS83" s="52">
        <v>1.2681553400000001</v>
      </c>
    </row>
    <row r="84" spans="1:45" ht="14.4" x14ac:dyDescent="0.3">
      <c r="A84" s="5">
        <v>44470</v>
      </c>
      <c r="B84">
        <v>1.085197018104366</v>
      </c>
      <c r="C84">
        <v>1.1620111731843581</v>
      </c>
      <c r="D84">
        <v>1.0755319148936171</v>
      </c>
      <c r="E84">
        <v>1.1842696629213481</v>
      </c>
      <c r="F84" s="25">
        <f t="shared" si="25"/>
        <v>1.255099443381849</v>
      </c>
      <c r="G84" s="25">
        <f t="shared" si="26"/>
        <v>1.3284288740441648</v>
      </c>
      <c r="H84" s="25">
        <f t="shared" si="27"/>
        <v>1.4403751748642981</v>
      </c>
      <c r="I84" s="25">
        <f t="shared" si="28"/>
        <v>1.1452615527103731</v>
      </c>
      <c r="J84" s="25">
        <f t="shared" si="29"/>
        <v>1.1209484754544343</v>
      </c>
      <c r="K84" s="25">
        <f t="shared" si="30"/>
        <v>1.2649055425973423</v>
      </c>
      <c r="L84" s="25">
        <f t="shared" si="31"/>
        <v>1.4674789432482414</v>
      </c>
      <c r="M84" s="2">
        <v>131.35300000000001</v>
      </c>
      <c r="N84" s="27">
        <v>1.2877745098039217</v>
      </c>
      <c r="O84" s="26">
        <v>1.238839285714286</v>
      </c>
      <c r="P84">
        <v>1.264845605700712</v>
      </c>
      <c r="Q84" s="2">
        <v>170.66399999999999</v>
      </c>
      <c r="R84" s="2">
        <f t="shared" si="34"/>
        <v>1.1633537832310838</v>
      </c>
      <c r="S84" s="2">
        <v>178.637</v>
      </c>
      <c r="T84" s="2">
        <f t="shared" si="35"/>
        <v>1.1964969859343602</v>
      </c>
      <c r="U84" s="2">
        <v>892.43075889349996</v>
      </c>
      <c r="V84" s="2">
        <f t="shared" si="36"/>
        <v>0.98502517411243051</v>
      </c>
      <c r="W84">
        <v>1.105485232067511</v>
      </c>
      <c r="X84" s="2">
        <v>128.565</v>
      </c>
      <c r="Y84" s="2">
        <f t="shared" si="37"/>
        <v>1.2409749034749036</v>
      </c>
      <c r="Z84">
        <v>1810</v>
      </c>
      <c r="AA84" s="2">
        <f t="shared" si="22"/>
        <v>1.3250366032210834</v>
      </c>
      <c r="AB84" s="2">
        <v>128.565</v>
      </c>
      <c r="AC84" s="2">
        <f t="shared" si="38"/>
        <v>1.2409749034749036</v>
      </c>
      <c r="AD84">
        <v>1.1842696629213481</v>
      </c>
      <c r="AE84" s="2">
        <v>96.147999999999996</v>
      </c>
      <c r="AF84" s="27">
        <f t="shared" si="33"/>
        <v>1.1141135573580534</v>
      </c>
      <c r="AG84" s="46">
        <v>0.88</v>
      </c>
      <c r="AH84" s="46">
        <v>1.2012072434607646</v>
      </c>
      <c r="AI84" s="46">
        <v>1.1007049345417925</v>
      </c>
      <c r="AJ84" s="46">
        <v>0.90038684719535778</v>
      </c>
      <c r="AK84" s="46">
        <v>0.83026188166828319</v>
      </c>
      <c r="AL84" s="48">
        <v>2.3548300000000002</v>
      </c>
      <c r="AM84" s="48">
        <v>1.3236407766990292</v>
      </c>
      <c r="AN84" s="48">
        <v>1.9418543799772467</v>
      </c>
      <c r="AO84" s="2">
        <v>605.35199999999998</v>
      </c>
      <c r="AP84">
        <f t="shared" si="39"/>
        <v>0.9955121110509948</v>
      </c>
      <c r="AQ84" s="27">
        <f t="shared" si="40"/>
        <v>1.1535482167450694E-2</v>
      </c>
      <c r="AR84" s="52">
        <v>272.67</v>
      </c>
      <c r="AS84" s="52">
        <v>1.323640777</v>
      </c>
    </row>
    <row r="85" spans="1:45" ht="14.4" x14ac:dyDescent="0.3">
      <c r="A85" s="5">
        <v>44501</v>
      </c>
      <c r="B85">
        <v>1.0926517571884979</v>
      </c>
      <c r="C85">
        <v>1.1698324022346369</v>
      </c>
      <c r="D85">
        <v>1.0755319148936171</v>
      </c>
      <c r="E85">
        <v>1.196629213483146</v>
      </c>
      <c r="F85" s="25">
        <f t="shared" si="25"/>
        <v>1.2346259550120018</v>
      </c>
      <c r="G85" s="25">
        <f t="shared" si="26"/>
        <v>1.3025388203235839</v>
      </c>
      <c r="H85" s="25">
        <f t="shared" si="27"/>
        <v>1.4071057967599181</v>
      </c>
      <c r="I85" s="25">
        <f t="shared" si="28"/>
        <v>1.1286887198614592</v>
      </c>
      <c r="J85" s="25">
        <f t="shared" si="29"/>
        <v>1.1082197485772249</v>
      </c>
      <c r="K85" s="25">
        <f t="shared" si="30"/>
        <v>1.2506762867261849</v>
      </c>
      <c r="L85" s="25">
        <f t="shared" si="31"/>
        <v>1.4493156969857939</v>
      </c>
      <c r="M85" s="2">
        <v>133.804</v>
      </c>
      <c r="N85" s="27">
        <v>1.3118039215686275</v>
      </c>
      <c r="O85" s="26">
        <v>1.271205357142857</v>
      </c>
      <c r="P85">
        <v>1.298099762470309</v>
      </c>
      <c r="Q85" s="2">
        <v>170.417</v>
      </c>
      <c r="R85" s="2">
        <f t="shared" si="34"/>
        <v>1.1616700749829585</v>
      </c>
      <c r="S85" s="2">
        <v>178.60300000000001</v>
      </c>
      <c r="T85" s="2">
        <f t="shared" si="35"/>
        <v>1.1962692565304756</v>
      </c>
      <c r="U85" s="2">
        <v>907.98350414054005</v>
      </c>
      <c r="V85" s="2">
        <f t="shared" si="36"/>
        <v>1.0021915990055916</v>
      </c>
      <c r="W85">
        <v>1.1170886075949371</v>
      </c>
      <c r="X85" s="2">
        <v>132.399</v>
      </c>
      <c r="Y85" s="2">
        <f t="shared" si="37"/>
        <v>1.2779826254826256</v>
      </c>
      <c r="Z85">
        <v>1929</v>
      </c>
      <c r="AA85" s="2">
        <f t="shared" si="22"/>
        <v>1.4121522693997073</v>
      </c>
      <c r="AB85" s="2">
        <v>132.399</v>
      </c>
      <c r="AC85" s="2">
        <f t="shared" si="38"/>
        <v>1.2779826254826256</v>
      </c>
      <c r="AD85">
        <v>1.196629213483146</v>
      </c>
      <c r="AE85" s="2">
        <v>97.537000000000006</v>
      </c>
      <c r="AF85" s="27">
        <f t="shared" si="33"/>
        <v>1.1302085747392816</v>
      </c>
      <c r="AG85" s="46">
        <v>0.88195121951219513</v>
      </c>
      <c r="AH85" s="46">
        <v>1.2213279678068409</v>
      </c>
      <c r="AI85" s="46">
        <v>1.0624370594159114</v>
      </c>
      <c r="AJ85" s="46">
        <v>0.89845261121856868</v>
      </c>
      <c r="AK85" s="46">
        <v>0.83705140640155196</v>
      </c>
      <c r="AL85" s="48">
        <v>2.3891900000000001</v>
      </c>
      <c r="AM85" s="48">
        <v>1.3765728155339807</v>
      </c>
      <c r="AN85" s="48">
        <v>1.9904664391353808</v>
      </c>
      <c r="AO85" s="2">
        <v>659.61300000000006</v>
      </c>
      <c r="AP85">
        <f t="shared" si="39"/>
        <v>1.0896354517702098</v>
      </c>
      <c r="AQ85" s="27">
        <f t="shared" si="40"/>
        <v>1.2626135014718539E-2</v>
      </c>
      <c r="AR85" s="52">
        <v>283.57400000000001</v>
      </c>
      <c r="AS85" s="52">
        <v>1.3765728159999999</v>
      </c>
    </row>
    <row r="86" spans="1:45" ht="14.4" x14ac:dyDescent="0.3">
      <c r="A86" s="5">
        <v>44531</v>
      </c>
      <c r="B86">
        <v>1.0969116080937169</v>
      </c>
      <c r="C86">
        <v>1.1743016759776539</v>
      </c>
      <c r="D86">
        <v>1.0819148936170211</v>
      </c>
      <c r="E86">
        <v>1.20561797752809</v>
      </c>
      <c r="F86" s="25">
        <f t="shared" si="25"/>
        <v>1.2141524666421546</v>
      </c>
      <c r="G86" s="25">
        <f t="shared" si="26"/>
        <v>1.2766487666030033</v>
      </c>
      <c r="H86" s="25">
        <f t="shared" si="27"/>
        <v>1.3738364186555378</v>
      </c>
      <c r="I86" s="25">
        <f t="shared" si="28"/>
        <v>1.1121158870125454</v>
      </c>
      <c r="J86" s="25">
        <f t="shared" si="29"/>
        <v>1.0954910217000156</v>
      </c>
      <c r="K86" s="25">
        <f t="shared" si="30"/>
        <v>1.2364470308550277</v>
      </c>
      <c r="L86" s="25">
        <f t="shared" si="31"/>
        <v>1.4311524507233464</v>
      </c>
      <c r="M86" s="2">
        <v>135.92400000000001</v>
      </c>
      <c r="N86" s="27">
        <v>1.3325882352941176</v>
      </c>
      <c r="O86" s="26">
        <v>1.283482142857143</v>
      </c>
      <c r="P86">
        <v>1.319477434679335</v>
      </c>
      <c r="Q86" s="2">
        <v>173.50299999999999</v>
      </c>
      <c r="R86" s="2">
        <f t="shared" si="34"/>
        <v>1.182706203135651</v>
      </c>
      <c r="S86" s="2">
        <v>178.72800000000001</v>
      </c>
      <c r="T86" s="2">
        <f t="shared" si="35"/>
        <v>1.1971064969859344</v>
      </c>
      <c r="U86" s="2">
        <v>909.30605076148595</v>
      </c>
      <c r="V86" s="2">
        <f t="shared" si="36"/>
        <v>1.0036513668392151</v>
      </c>
      <c r="W86">
        <v>1.1139240506329109</v>
      </c>
      <c r="X86" s="2">
        <v>131.00299999999999</v>
      </c>
      <c r="Y86" s="2">
        <f t="shared" si="37"/>
        <v>1.2645077220077219</v>
      </c>
      <c r="Z86">
        <v>1885.25</v>
      </c>
      <c r="AA86" s="2">
        <f t="shared" si="22"/>
        <v>1.3801244509516837</v>
      </c>
      <c r="AB86" s="2">
        <v>131.00299999999999</v>
      </c>
      <c r="AC86" s="2">
        <f t="shared" si="38"/>
        <v>1.2645077220077219</v>
      </c>
      <c r="AD86">
        <v>1.20561797752809</v>
      </c>
      <c r="AE86" s="2">
        <v>97.96</v>
      </c>
      <c r="AF86" s="27">
        <f t="shared" si="33"/>
        <v>1.1351100811123986</v>
      </c>
      <c r="AG86" s="46">
        <v>0.90341463414634138</v>
      </c>
      <c r="AH86" s="46">
        <v>1.244466800804829</v>
      </c>
      <c r="AI86" s="46">
        <v>1.0574018126888218</v>
      </c>
      <c r="AJ86" s="46">
        <v>0.92069632495164411</v>
      </c>
      <c r="AK86" s="46">
        <v>0.84869059165858396</v>
      </c>
      <c r="AL86" s="48">
        <v>2.4871400000000001</v>
      </c>
      <c r="AM86" s="48">
        <v>1.4127184466019416</v>
      </c>
      <c r="AN86" s="48">
        <v>2.052172923777019</v>
      </c>
      <c r="AO86" s="2">
        <v>647.12400000000002</v>
      </c>
      <c r="AP86">
        <f t="shared" si="39"/>
        <v>0.9810661706182261</v>
      </c>
      <c r="AQ86" s="27">
        <f t="shared" si="40"/>
        <v>1.1368090041926142E-2</v>
      </c>
      <c r="AR86" s="52">
        <v>291.02</v>
      </c>
      <c r="AS86" s="52">
        <v>1.412718447</v>
      </c>
    </row>
    <row r="87" spans="1:45" ht="14.4" x14ac:dyDescent="0.3">
      <c r="A87" s="5">
        <v>44562</v>
      </c>
      <c r="B87">
        <v>1.120340788072417</v>
      </c>
      <c r="C87">
        <v>1.2</v>
      </c>
      <c r="D87">
        <v>1.087234042553191</v>
      </c>
      <c r="E87">
        <v>1.232584269662921</v>
      </c>
      <c r="F87" s="25">
        <f t="shared" si="25"/>
        <v>1.1936789782723074</v>
      </c>
      <c r="G87" s="25">
        <f t="shared" si="26"/>
        <v>1.2507587128824227</v>
      </c>
      <c r="H87" s="25">
        <f t="shared" si="27"/>
        <v>1.3405670405511578</v>
      </c>
      <c r="I87" s="25">
        <f t="shared" si="28"/>
        <v>1.0955430541636317</v>
      </c>
      <c r="J87" s="25">
        <f t="shared" si="29"/>
        <v>1.0827622948228062</v>
      </c>
      <c r="K87" s="25">
        <f t="shared" si="30"/>
        <v>1.2222177749838705</v>
      </c>
      <c r="L87" s="25">
        <f t="shared" si="31"/>
        <v>1.4129892044608989</v>
      </c>
      <c r="M87" s="2">
        <v>142.32599999999999</v>
      </c>
      <c r="N87" s="27">
        <v>1.3953529411764705</v>
      </c>
      <c r="O87" s="26">
        <v>1.377232142857143</v>
      </c>
      <c r="P87">
        <v>1.3657957244655581</v>
      </c>
      <c r="Q87" s="2">
        <v>174.71100000000001</v>
      </c>
      <c r="R87" s="2">
        <f t="shared" si="34"/>
        <v>1.1909406952965238</v>
      </c>
      <c r="S87" s="2">
        <v>178.88</v>
      </c>
      <c r="T87" s="2">
        <f t="shared" si="35"/>
        <v>1.1981245813797721</v>
      </c>
      <c r="U87" s="2">
        <v>933.36712410267103</v>
      </c>
      <c r="V87" s="2">
        <f t="shared" si="36"/>
        <v>1.0302089039041844</v>
      </c>
      <c r="W87">
        <v>1.1434599156118139</v>
      </c>
      <c r="X87" s="2">
        <v>128.339</v>
      </c>
      <c r="Y87" s="2">
        <f t="shared" si="37"/>
        <v>1.2387934362934363</v>
      </c>
      <c r="Z87">
        <v>1871.6</v>
      </c>
      <c r="AA87" s="2">
        <f t="shared" si="22"/>
        <v>1.3701317715959003</v>
      </c>
      <c r="AB87" s="2">
        <v>128.339</v>
      </c>
      <c r="AC87" s="2">
        <f t="shared" si="38"/>
        <v>1.2387934362934363</v>
      </c>
      <c r="AD87">
        <v>1.232584269662921</v>
      </c>
      <c r="AE87" s="2">
        <v>97.564999999999998</v>
      </c>
      <c r="AF87" s="27">
        <f t="shared" si="33"/>
        <v>1.1305330243337195</v>
      </c>
      <c r="AG87" s="46">
        <v>0.91902439024390248</v>
      </c>
      <c r="AH87" s="46">
        <v>1.244466800804829</v>
      </c>
      <c r="AI87" s="46">
        <v>1.054380664652568</v>
      </c>
      <c r="AJ87" s="46">
        <v>0.93133462282398449</v>
      </c>
      <c r="AK87" s="46">
        <v>0.86032977691561596</v>
      </c>
      <c r="AL87" s="48">
        <v>2.5780900000000004</v>
      </c>
      <c r="AM87" s="48">
        <v>1.668126213592233</v>
      </c>
      <c r="AN87" s="48">
        <v>2.3435893060295787</v>
      </c>
      <c r="AO87" s="2">
        <v>603.16300000000001</v>
      </c>
      <c r="AP87">
        <f t="shared" si="39"/>
        <v>0.93206711542146481</v>
      </c>
      <c r="AQ87" s="27">
        <f t="shared" si="40"/>
        <v>1.0800314199553475E-2</v>
      </c>
      <c r="AR87" s="55">
        <v>343.63400000000001</v>
      </c>
      <c r="AS87" s="55">
        <v>1.6681262139999999</v>
      </c>
    </row>
    <row r="88" spans="1:45" ht="14.4" x14ac:dyDescent="0.3">
      <c r="A88" s="5">
        <v>44593</v>
      </c>
      <c r="B88">
        <v>1.1309904153354631</v>
      </c>
      <c r="C88">
        <v>1.2156424581005589</v>
      </c>
      <c r="D88">
        <v>1.09468085106383</v>
      </c>
      <c r="E88">
        <v>1.2516853932584271</v>
      </c>
      <c r="F88" s="25">
        <f t="shared" si="25"/>
        <v>1.2126402741885327</v>
      </c>
      <c r="G88" s="25">
        <f t="shared" si="26"/>
        <v>1.2600647786836237</v>
      </c>
      <c r="H88" s="25">
        <f t="shared" si="27"/>
        <v>1.3445336235240748</v>
      </c>
      <c r="I88" s="25">
        <f t="shared" si="28"/>
        <v>1.1238986659730212</v>
      </c>
      <c r="J88" s="25">
        <f t="shared" si="29"/>
        <v>1.1434316053436155</v>
      </c>
      <c r="K88" s="25">
        <f t="shared" si="30"/>
        <v>1.2314006020455528</v>
      </c>
      <c r="L88" s="25">
        <f t="shared" si="31"/>
        <v>1.458000046603031</v>
      </c>
      <c r="M88" s="2">
        <v>147.66900000000001</v>
      </c>
      <c r="N88" s="27">
        <v>1.4477352941176471</v>
      </c>
      <c r="O88" s="26">
        <v>1.435267857142857</v>
      </c>
      <c r="P88">
        <v>1.382422802850356</v>
      </c>
      <c r="Q88" s="2">
        <v>173.97399999999999</v>
      </c>
      <c r="R88" s="2">
        <f t="shared" si="34"/>
        <v>1.1859168370824813</v>
      </c>
      <c r="S88" s="2">
        <v>185.63399999999999</v>
      </c>
      <c r="T88" s="2">
        <f t="shared" si="35"/>
        <v>1.2433623576691224</v>
      </c>
      <c r="U88" s="2">
        <v>924.55906404005998</v>
      </c>
      <c r="V88" s="2">
        <f t="shared" si="36"/>
        <v>1.0204869609855838</v>
      </c>
      <c r="W88">
        <v>1.14873417721519</v>
      </c>
      <c r="X88" s="2">
        <v>128.21299999999999</v>
      </c>
      <c r="Y88" s="2">
        <f t="shared" si="37"/>
        <v>1.2375772200772202</v>
      </c>
      <c r="Z88">
        <v>1853.75</v>
      </c>
      <c r="AA88" s="2">
        <f t="shared" si="22"/>
        <v>1.3570644216691068</v>
      </c>
      <c r="AB88" s="2">
        <v>128.21299999999999</v>
      </c>
      <c r="AC88" s="2">
        <f t="shared" si="38"/>
        <v>1.2375772200772202</v>
      </c>
      <c r="AD88">
        <v>1.2516853932584271</v>
      </c>
      <c r="AE88" s="2">
        <v>99.215999999999994</v>
      </c>
      <c r="AF88" s="27">
        <f t="shared" si="33"/>
        <v>1.1496639629200462</v>
      </c>
      <c r="AG88" s="46">
        <v>0.94243902439024385</v>
      </c>
      <c r="AH88" s="46">
        <v>1.2655935613682092</v>
      </c>
      <c r="AI88" s="46">
        <v>1.0684793554884189</v>
      </c>
      <c r="AJ88" s="46">
        <v>0.96421663442940031</v>
      </c>
      <c r="AK88" s="46">
        <v>0.87196896217264797</v>
      </c>
      <c r="AL88" s="48">
        <v>2.6065100000000001</v>
      </c>
      <c r="AM88" s="48">
        <v>1.8009999999999999</v>
      </c>
      <c r="AN88" s="48">
        <v>2.7702901023890782</v>
      </c>
      <c r="AO88" s="2">
        <v>602.69399999999996</v>
      </c>
      <c r="AP88">
        <f t="shared" si="39"/>
        <v>0.99922243241047604</v>
      </c>
      <c r="AQ88" s="27">
        <f t="shared" si="40"/>
        <v>1.1578475462462063E-2</v>
      </c>
      <c r="AR88" s="52">
        <v>371.00599999999997</v>
      </c>
      <c r="AS88" s="52">
        <v>1.8009999999999999</v>
      </c>
    </row>
    <row r="89" spans="1:45" ht="14.4" x14ac:dyDescent="0.3">
      <c r="A89" s="5">
        <v>44621</v>
      </c>
      <c r="B89">
        <v>1.144834930777423</v>
      </c>
      <c r="C89">
        <v>1.239106145251397</v>
      </c>
      <c r="D89">
        <v>1.102127659574468</v>
      </c>
      <c r="E89">
        <v>1.2764044943820221</v>
      </c>
      <c r="F89" s="25">
        <f t="shared" si="25"/>
        <v>1.2316015701047582</v>
      </c>
      <c r="G89" s="25">
        <f t="shared" si="26"/>
        <v>1.2693708444848244</v>
      </c>
      <c r="H89" s="25">
        <f t="shared" si="27"/>
        <v>1.3485002064969915</v>
      </c>
      <c r="I89" s="25">
        <f t="shared" si="28"/>
        <v>1.152254277782411</v>
      </c>
      <c r="J89" s="25">
        <f t="shared" si="29"/>
        <v>1.2041009158644249</v>
      </c>
      <c r="K89" s="25">
        <f t="shared" si="30"/>
        <v>1.2405834291072348</v>
      </c>
      <c r="L89" s="25">
        <f t="shared" si="31"/>
        <v>1.5030108887451632</v>
      </c>
      <c r="M89" s="2">
        <v>150.012</v>
      </c>
      <c r="N89" s="27">
        <v>1.4707058823529411</v>
      </c>
      <c r="O89" s="26">
        <v>1.495535714285714</v>
      </c>
      <c r="P89">
        <v>1.418052256532067</v>
      </c>
      <c r="Q89" s="2">
        <v>179.238</v>
      </c>
      <c r="R89" s="2">
        <f t="shared" si="34"/>
        <v>1.2217995910020452</v>
      </c>
      <c r="S89" s="2">
        <v>187.86799999999999</v>
      </c>
      <c r="T89" s="2">
        <f t="shared" si="35"/>
        <v>1.2583255190890823</v>
      </c>
      <c r="U89" s="2">
        <v>931.17806286143298</v>
      </c>
      <c r="V89" s="2">
        <f t="shared" si="36"/>
        <v>1.0277927159716138</v>
      </c>
      <c r="W89">
        <v>1.1624472573839659</v>
      </c>
      <c r="X89" s="2">
        <v>129.69499999999999</v>
      </c>
      <c r="Y89" s="2">
        <f t="shared" si="37"/>
        <v>1.2518822393822393</v>
      </c>
      <c r="Z89">
        <v>2023.25</v>
      </c>
      <c r="AA89" s="2">
        <f t="shared" si="22"/>
        <v>1.4811493411420205</v>
      </c>
      <c r="AB89" s="2">
        <v>129.69499999999999</v>
      </c>
      <c r="AC89" s="2">
        <f t="shared" si="38"/>
        <v>1.2518822393822393</v>
      </c>
      <c r="AD89">
        <v>1.2764044943820221</v>
      </c>
      <c r="AE89" s="2">
        <v>97.078000000000003</v>
      </c>
      <c r="AF89" s="27">
        <f t="shared" si="33"/>
        <v>1.1248899188876014</v>
      </c>
      <c r="AG89" s="46">
        <v>0.97365853658536583</v>
      </c>
      <c r="AH89" s="46">
        <v>1.2716297786720321</v>
      </c>
      <c r="AI89" s="46">
        <v>1.0624370594159114</v>
      </c>
      <c r="AJ89" s="46">
        <v>0.99806576402321079</v>
      </c>
      <c r="AK89" s="46">
        <v>0.90300678952473323</v>
      </c>
      <c r="AL89" s="48">
        <v>2.6065100000000001</v>
      </c>
      <c r="AM89" s="48">
        <v>1.9283155339805826</v>
      </c>
      <c r="AN89" s="48">
        <v>3.1543856655290101</v>
      </c>
      <c r="AO89" s="2">
        <v>754.73</v>
      </c>
      <c r="AP89">
        <f t="shared" si="39"/>
        <v>1.2522606828672596</v>
      </c>
      <c r="AQ89" s="27">
        <f t="shared" si="40"/>
        <v>1.4510552524533715E-2</v>
      </c>
      <c r="AR89" s="52">
        <v>397.233</v>
      </c>
      <c r="AS89" s="52">
        <v>1.928315534</v>
      </c>
    </row>
    <row r="90" spans="1:45" ht="14.4" x14ac:dyDescent="0.3">
      <c r="A90" s="5">
        <v>44652</v>
      </c>
      <c r="B90">
        <v>1.1586794462193819</v>
      </c>
      <c r="C90">
        <v>1.265921787709497</v>
      </c>
      <c r="D90">
        <v>1.1042553191489359</v>
      </c>
      <c r="E90">
        <v>1.3224719101123601</v>
      </c>
      <c r="F90" s="25">
        <f t="shared" si="25"/>
        <v>1.2505628660209838</v>
      </c>
      <c r="G90" s="25">
        <f t="shared" si="26"/>
        <v>1.2786769102860254</v>
      </c>
      <c r="H90" s="25">
        <f t="shared" si="27"/>
        <v>1.3524667894699085</v>
      </c>
      <c r="I90" s="25">
        <f t="shared" si="28"/>
        <v>1.1806098895918007</v>
      </c>
      <c r="J90" s="25">
        <f t="shared" si="29"/>
        <v>1.2647702263852343</v>
      </c>
      <c r="K90" s="25">
        <f t="shared" si="30"/>
        <v>1.2497662561689169</v>
      </c>
      <c r="L90" s="25">
        <f t="shared" si="31"/>
        <v>1.5480217308872952</v>
      </c>
      <c r="M90" s="2">
        <v>159.17500000000001</v>
      </c>
      <c r="N90" s="27">
        <v>1.5605392156862745</v>
      </c>
      <c r="O90" s="26">
        <v>1.553571428571429</v>
      </c>
      <c r="P90">
        <v>1.4964370546318291</v>
      </c>
      <c r="Q90" s="2">
        <v>181.483</v>
      </c>
      <c r="R90" s="2">
        <f t="shared" si="34"/>
        <v>1.237102931152011</v>
      </c>
      <c r="S90" s="2">
        <v>188.59100000000001</v>
      </c>
      <c r="T90" s="2">
        <f t="shared" si="35"/>
        <v>1.2631681178834562</v>
      </c>
      <c r="U90" s="2">
        <v>917.07635851930002</v>
      </c>
      <c r="V90" s="2">
        <f t="shared" si="36"/>
        <v>1.012227885158169</v>
      </c>
      <c r="W90">
        <v>1.1803797468354429</v>
      </c>
      <c r="X90" s="2">
        <v>130.70699999999999</v>
      </c>
      <c r="Y90" s="2">
        <f t="shared" si="37"/>
        <v>1.2616505791505792</v>
      </c>
      <c r="Z90">
        <v>2246</v>
      </c>
      <c r="AA90" s="2">
        <f t="shared" si="22"/>
        <v>1.6442166910688141</v>
      </c>
      <c r="AB90" s="2">
        <v>130.70699999999999</v>
      </c>
      <c r="AC90" s="2">
        <f t="shared" si="38"/>
        <v>1.2616505791505792</v>
      </c>
      <c r="AD90">
        <v>1.3224719101123601</v>
      </c>
      <c r="AE90" s="2">
        <v>105.053</v>
      </c>
      <c r="AF90" s="27">
        <f t="shared" si="33"/>
        <v>1.2173001158748551</v>
      </c>
      <c r="AG90" s="46">
        <v>0.99609756097560975</v>
      </c>
      <c r="AH90" s="46">
        <v>1.2796780684104627</v>
      </c>
      <c r="AI90" s="46">
        <v>1.0684793554884189</v>
      </c>
      <c r="AJ90" s="46">
        <v>1.0299806576402319</v>
      </c>
      <c r="AK90" s="46">
        <v>0.91076624636275472</v>
      </c>
      <c r="AL90" s="48">
        <v>2.7602999999999995</v>
      </c>
      <c r="AM90" s="48">
        <v>1.7962135922330096</v>
      </c>
      <c r="AN90" s="48">
        <v>2.7985494880546073</v>
      </c>
      <c r="AO90" s="2">
        <v>754.63699999999994</v>
      </c>
      <c r="AP90">
        <f t="shared" si="39"/>
        <v>0.99987677712559453</v>
      </c>
      <c r="AQ90" s="27">
        <f t="shared" si="40"/>
        <v>1.1586057672370736E-2</v>
      </c>
      <c r="AR90" s="52">
        <v>370.02</v>
      </c>
      <c r="AS90" s="52">
        <v>1.796213592</v>
      </c>
    </row>
    <row r="91" spans="1:45" ht="14.4" x14ac:dyDescent="0.3">
      <c r="A91" s="5">
        <v>44682</v>
      </c>
      <c r="B91">
        <v>1.171458998935037</v>
      </c>
      <c r="C91">
        <v>1.281564245810056</v>
      </c>
      <c r="D91">
        <v>1.1095744680851061</v>
      </c>
      <c r="E91">
        <v>1.344943820224719</v>
      </c>
      <c r="F91" s="25">
        <f t="shared" si="25"/>
        <v>1.2695241619372091</v>
      </c>
      <c r="G91" s="25">
        <f t="shared" si="26"/>
        <v>1.2879829760872263</v>
      </c>
      <c r="H91" s="25">
        <f t="shared" si="27"/>
        <v>1.3564333724428255</v>
      </c>
      <c r="I91" s="25">
        <f t="shared" si="28"/>
        <v>1.2089655014011902</v>
      </c>
      <c r="J91" s="25">
        <f t="shared" si="29"/>
        <v>1.3254395369060437</v>
      </c>
      <c r="K91" s="25">
        <f t="shared" si="30"/>
        <v>1.2589490832305992</v>
      </c>
      <c r="L91" s="25">
        <f t="shared" si="31"/>
        <v>1.5930325730294272</v>
      </c>
      <c r="M91" s="2">
        <v>169.934</v>
      </c>
      <c r="N91" s="27">
        <v>1.6660196078431373</v>
      </c>
      <c r="O91" s="26">
        <v>1.5703125</v>
      </c>
      <c r="P91">
        <v>1.5332541567695961</v>
      </c>
      <c r="Q91" s="2">
        <v>183.38200000000001</v>
      </c>
      <c r="R91" s="2">
        <f t="shared" si="34"/>
        <v>1.2500477164280848</v>
      </c>
      <c r="S91" s="2">
        <v>190.32599999999999</v>
      </c>
      <c r="T91" s="2">
        <f t="shared" si="35"/>
        <v>1.2747890154052242</v>
      </c>
      <c r="U91" s="2">
        <v>917.33497634566697</v>
      </c>
      <c r="V91" s="2">
        <f t="shared" si="36"/>
        <v>1.0125133359529865</v>
      </c>
      <c r="W91">
        <v>1.19620253164557</v>
      </c>
      <c r="X91" s="2">
        <v>130.80500000000001</v>
      </c>
      <c r="Y91" s="2">
        <f t="shared" si="37"/>
        <v>1.2625965250965252</v>
      </c>
      <c r="Z91">
        <v>2033.2</v>
      </c>
      <c r="AA91" s="2">
        <f t="shared" si="22"/>
        <v>1.4884333821376281</v>
      </c>
      <c r="AB91" s="2">
        <v>130.80500000000001</v>
      </c>
      <c r="AC91" s="2">
        <f t="shared" si="38"/>
        <v>1.2625965250965252</v>
      </c>
      <c r="AD91">
        <v>1.344943820224719</v>
      </c>
      <c r="AE91" s="2">
        <v>106.842</v>
      </c>
      <c r="AF91" s="27">
        <f t="shared" si="33"/>
        <v>1.2380301274623406</v>
      </c>
      <c r="AG91" s="46">
        <v>1.015609756097561</v>
      </c>
      <c r="AH91" s="46">
        <v>1.2877263581488934</v>
      </c>
      <c r="AI91" s="46">
        <v>1.08257804632427</v>
      </c>
      <c r="AJ91" s="46">
        <v>1.0560928433268859</v>
      </c>
      <c r="AK91" s="46">
        <v>0.92240543161978661</v>
      </c>
      <c r="AL91" s="48">
        <v>2.8026900000000001</v>
      </c>
      <c r="AM91" s="48">
        <v>1.7243834951456312</v>
      </c>
      <c r="AN91" s="48">
        <v>2.4457167235494879</v>
      </c>
      <c r="AO91" s="2">
        <v>663.66800000000001</v>
      </c>
      <c r="AP91">
        <f t="shared" si="39"/>
        <v>0.87945330006347433</v>
      </c>
      <c r="AQ91" s="27">
        <f t="shared" si="40"/>
        <v>1.0190652376170039E-2</v>
      </c>
      <c r="AR91" s="52">
        <v>355.22300000000001</v>
      </c>
      <c r="AS91" s="52">
        <v>1.7243834950000001</v>
      </c>
    </row>
    <row r="92" spans="1:45" ht="14.4" x14ac:dyDescent="0.3">
      <c r="A92" s="5">
        <v>44713</v>
      </c>
      <c r="B92">
        <v>1.178913738019169</v>
      </c>
      <c r="C92">
        <v>1.288268156424581</v>
      </c>
      <c r="D92">
        <v>1.1223404255319149</v>
      </c>
      <c r="E92">
        <v>1.3550561797752809</v>
      </c>
      <c r="F92" s="25">
        <f t="shared" si="25"/>
        <v>1.2884854578534344</v>
      </c>
      <c r="G92" s="25">
        <f t="shared" si="26"/>
        <v>1.2972890418884271</v>
      </c>
      <c r="H92" s="25">
        <f t="shared" si="27"/>
        <v>1.3603999554157422</v>
      </c>
      <c r="I92" s="25">
        <f t="shared" si="28"/>
        <v>1.2373211132105797</v>
      </c>
      <c r="J92" s="25">
        <f t="shared" si="29"/>
        <v>1.3861088474268533</v>
      </c>
      <c r="K92" s="25">
        <f t="shared" si="30"/>
        <v>1.2681319102922815</v>
      </c>
      <c r="L92" s="25">
        <f t="shared" si="31"/>
        <v>1.6380434151715595</v>
      </c>
      <c r="M92" s="2">
        <v>169.54499999999999</v>
      </c>
      <c r="N92" s="27">
        <v>1.6622058823529411</v>
      </c>
      <c r="O92" s="26">
        <v>1.559151785714286</v>
      </c>
      <c r="P92">
        <v>1.5403800475059379</v>
      </c>
      <c r="Q92" s="2">
        <v>182.68700000000001</v>
      </c>
      <c r="R92" s="2">
        <f t="shared" si="34"/>
        <v>1.2453101567825495</v>
      </c>
      <c r="S92" s="2">
        <v>194.899</v>
      </c>
      <c r="T92" s="2">
        <f t="shared" si="35"/>
        <v>1.3054186202277294</v>
      </c>
      <c r="U92" s="2">
        <v>949.00474299912196</v>
      </c>
      <c r="V92" s="2">
        <f t="shared" si="36"/>
        <v>1.0474690085371521</v>
      </c>
      <c r="W92">
        <v>1.2099156118143459</v>
      </c>
      <c r="X92" s="2">
        <v>135.578</v>
      </c>
      <c r="Y92" s="2">
        <f t="shared" si="37"/>
        <v>1.3086679536679537</v>
      </c>
      <c r="Z92">
        <v>1893</v>
      </c>
      <c r="AA92" s="2">
        <f t="shared" si="22"/>
        <v>1.3857979502196194</v>
      </c>
      <c r="AB92" s="2">
        <v>135.578</v>
      </c>
      <c r="AC92" s="2">
        <f t="shared" si="38"/>
        <v>1.3086679536679537</v>
      </c>
      <c r="AD92">
        <v>1.3550561797752809</v>
      </c>
      <c r="AE92" s="2">
        <v>107.393</v>
      </c>
      <c r="AF92" s="27">
        <f t="shared" si="33"/>
        <v>1.2444148319814601</v>
      </c>
      <c r="AG92" s="46">
        <v>1.0214634146341464</v>
      </c>
      <c r="AH92" s="46">
        <v>1.2645875251509053</v>
      </c>
      <c r="AI92" s="46">
        <v>1.0654582074521652</v>
      </c>
      <c r="AJ92" s="46">
        <v>1.0696324951644098</v>
      </c>
      <c r="AK92" s="46">
        <v>0.92628516003879735</v>
      </c>
      <c r="AL92" s="48">
        <v>2.8384800000000001</v>
      </c>
      <c r="AM92" s="48">
        <v>1.6834708737864079</v>
      </c>
      <c r="AN92" s="48">
        <v>2.1469738339021611</v>
      </c>
      <c r="AO92" s="2">
        <v>594.81799999999998</v>
      </c>
      <c r="AP92">
        <f t="shared" si="39"/>
        <v>0.89625837014892984</v>
      </c>
      <c r="AQ92" s="27">
        <f t="shared" si="40"/>
        <v>1.0385380882374623E-2</v>
      </c>
      <c r="AR92" s="52">
        <v>346.79500000000002</v>
      </c>
      <c r="AS92" s="52">
        <v>1.683470874</v>
      </c>
    </row>
    <row r="93" spans="1:45" ht="14.4" x14ac:dyDescent="0.3">
      <c r="A93" s="5">
        <v>44743</v>
      </c>
      <c r="B93">
        <v>1.1895633652822151</v>
      </c>
      <c r="C93">
        <v>1.2960893854748601</v>
      </c>
      <c r="D93">
        <v>1.129787234042553</v>
      </c>
      <c r="E93">
        <v>1.368539325842697</v>
      </c>
      <c r="F93" s="25">
        <f t="shared" si="25"/>
        <v>1.3074467537696599</v>
      </c>
      <c r="G93" s="25">
        <f t="shared" si="26"/>
        <v>1.3065951076896281</v>
      </c>
      <c r="H93" s="25">
        <f t="shared" si="27"/>
        <v>1.3643665383886592</v>
      </c>
      <c r="I93" s="25">
        <f t="shared" si="28"/>
        <v>1.2656767250199694</v>
      </c>
      <c r="J93" s="25">
        <f t="shared" si="29"/>
        <v>1.4467781579476626</v>
      </c>
      <c r="K93" s="25">
        <f t="shared" si="30"/>
        <v>1.2773147373539635</v>
      </c>
      <c r="L93" s="25">
        <f t="shared" si="31"/>
        <v>1.6830542573136915</v>
      </c>
      <c r="M93" s="2">
        <v>162.846</v>
      </c>
      <c r="N93" s="27">
        <v>1.596529411764706</v>
      </c>
      <c r="O93" s="26">
        <v>1.542410714285714</v>
      </c>
      <c r="P93">
        <v>1.534441805225653</v>
      </c>
      <c r="Q93" s="2">
        <v>182.99600000000001</v>
      </c>
      <c r="R93" s="2">
        <f t="shared" si="34"/>
        <v>1.2474164962508523</v>
      </c>
      <c r="S93" s="2">
        <v>198.61</v>
      </c>
      <c r="T93" s="2">
        <f t="shared" si="35"/>
        <v>1.3302746148693905</v>
      </c>
      <c r="U93" s="2">
        <v>900.96614234037497</v>
      </c>
      <c r="V93" s="2">
        <f t="shared" si="36"/>
        <v>0.99444614877302917</v>
      </c>
      <c r="W93">
        <v>1.232067510548523</v>
      </c>
      <c r="X93" s="2">
        <v>135.87299999999999</v>
      </c>
      <c r="Y93" s="2">
        <f t="shared" si="37"/>
        <v>1.311515444015444</v>
      </c>
      <c r="Z93">
        <v>1700.25</v>
      </c>
      <c r="AA93" s="2">
        <f t="shared" si="22"/>
        <v>1.2446925329428991</v>
      </c>
      <c r="AB93" s="2">
        <v>135.87299999999999</v>
      </c>
      <c r="AC93" s="2">
        <f t="shared" si="38"/>
        <v>1.311515444015444</v>
      </c>
      <c r="AD93">
        <v>1.368539325842697</v>
      </c>
      <c r="AE93" s="2">
        <v>107.348</v>
      </c>
      <c r="AF93" s="27">
        <f t="shared" si="33"/>
        <v>1.243893395133256</v>
      </c>
      <c r="AG93" s="46">
        <v>1.0292682926829269</v>
      </c>
      <c r="AH93" s="46">
        <v>1.2786720321931588</v>
      </c>
      <c r="AI93" s="46">
        <v>1.0966767371601209</v>
      </c>
      <c r="AJ93" s="46">
        <v>1.0686653771760155</v>
      </c>
      <c r="AK93" s="46">
        <v>0.97284190106692536</v>
      </c>
      <c r="AL93" s="48">
        <v>2.7891300000000001</v>
      </c>
      <c r="AM93" s="48">
        <v>1.5725485436893203</v>
      </c>
      <c r="AN93" s="48">
        <v>1.8869624573378838</v>
      </c>
      <c r="AO93" s="2">
        <v>516.83799999999997</v>
      </c>
      <c r="AP93">
        <f t="shared" si="39"/>
        <v>0.86890107562313179</v>
      </c>
      <c r="AQ93" s="27">
        <f t="shared" si="40"/>
        <v>1.0068378628309754E-2</v>
      </c>
      <c r="AR93" s="52">
        <v>323.94499999999999</v>
      </c>
      <c r="AS93" s="52">
        <v>1.572548544</v>
      </c>
    </row>
    <row r="94" spans="1:45" ht="14.4" x14ac:dyDescent="0.3">
      <c r="A94" s="5">
        <v>44774</v>
      </c>
      <c r="B94">
        <v>1.1980830670926521</v>
      </c>
      <c r="C94">
        <v>1.3016759776536311</v>
      </c>
      <c r="D94">
        <v>1.136170212765957</v>
      </c>
      <c r="E94">
        <v>1.3696629213483149</v>
      </c>
      <c r="F94" s="25">
        <f t="shared" si="25"/>
        <v>1.3264080496858854</v>
      </c>
      <c r="G94" s="25">
        <f t="shared" si="26"/>
        <v>1.315901173490829</v>
      </c>
      <c r="H94" s="25">
        <f t="shared" si="27"/>
        <v>1.3683331213615761</v>
      </c>
      <c r="I94" s="25">
        <f t="shared" si="28"/>
        <v>1.2940323368293591</v>
      </c>
      <c r="J94" s="25">
        <f t="shared" si="29"/>
        <v>1.507447468468472</v>
      </c>
      <c r="K94" s="25">
        <f t="shared" si="30"/>
        <v>1.2864975644156456</v>
      </c>
      <c r="L94" s="25">
        <f t="shared" si="31"/>
        <v>1.7280650994558235</v>
      </c>
      <c r="M94" s="2">
        <v>159.15299999999999</v>
      </c>
      <c r="N94" s="27">
        <v>1.5603235294117646</v>
      </c>
      <c r="O94" s="26">
        <v>1.544642857142857</v>
      </c>
      <c r="P94">
        <v>1.508313539192399</v>
      </c>
      <c r="Q94" s="2">
        <v>176.23500000000001</v>
      </c>
      <c r="R94" s="2">
        <f t="shared" si="34"/>
        <v>1.2013292433537834</v>
      </c>
      <c r="S94" s="2">
        <v>207.012</v>
      </c>
      <c r="T94" s="2">
        <f t="shared" si="35"/>
        <v>1.3865505693235096</v>
      </c>
      <c r="U94" s="2">
        <v>864.30021819190904</v>
      </c>
      <c r="V94" s="2">
        <f t="shared" si="36"/>
        <v>0.953975940907137</v>
      </c>
      <c r="W94">
        <v>1.2278481012658231</v>
      </c>
      <c r="X94" s="2">
        <v>135.46600000000001</v>
      </c>
      <c r="Y94" s="2">
        <f t="shared" si="37"/>
        <v>1.3075868725868727</v>
      </c>
      <c r="Z94">
        <v>1544</v>
      </c>
      <c r="AA94" s="2">
        <f t="shared" ref="AA94:AA134" si="41">Z94/Z$29</f>
        <v>1.1303074670571009</v>
      </c>
      <c r="AB94" s="2">
        <v>135.46600000000001</v>
      </c>
      <c r="AC94" s="2">
        <f t="shared" si="38"/>
        <v>1.3075868725868727</v>
      </c>
      <c r="AD94">
        <v>1.3696629213483149</v>
      </c>
      <c r="AE94" s="2">
        <v>107.04900000000001</v>
      </c>
      <c r="AF94" s="27">
        <f t="shared" si="33"/>
        <v>1.240428736964079</v>
      </c>
      <c r="AG94" s="46">
        <v>1.0419512195121952</v>
      </c>
      <c r="AH94" s="46">
        <v>1.3169014084507042</v>
      </c>
      <c r="AI94" s="46">
        <v>1.1752265861027191</v>
      </c>
      <c r="AJ94" s="46">
        <v>1.0638297872340425</v>
      </c>
      <c r="AK94" s="46">
        <v>0.97575169738118328</v>
      </c>
      <c r="AL94" s="48">
        <v>2.7891300000000001</v>
      </c>
      <c r="AM94" s="48">
        <v>1.5605</v>
      </c>
      <c r="AN94" s="48">
        <v>1.9943742889647325</v>
      </c>
      <c r="AO94" s="2">
        <v>475.38099999999997</v>
      </c>
      <c r="AP94">
        <f t="shared" si="39"/>
        <v>0.91978724474593587</v>
      </c>
      <c r="AQ94" s="27">
        <f t="shared" si="40"/>
        <v>1.0658021375966812E-2</v>
      </c>
      <c r="AR94" s="52">
        <v>321.46300000000002</v>
      </c>
      <c r="AS94" s="52">
        <v>1.5605</v>
      </c>
    </row>
    <row r="95" spans="1:45" ht="14.4" x14ac:dyDescent="0.3">
      <c r="A95" s="5">
        <v>44805</v>
      </c>
      <c r="B95">
        <v>1.206602768903088</v>
      </c>
      <c r="C95">
        <v>1.305027932960894</v>
      </c>
      <c r="D95">
        <v>1.141489361702128</v>
      </c>
      <c r="E95">
        <v>1.365168539325843</v>
      </c>
      <c r="F95" s="25">
        <f t="shared" si="25"/>
        <v>1.3453693456021107</v>
      </c>
      <c r="G95" s="25">
        <f t="shared" si="26"/>
        <v>1.3252072392920298</v>
      </c>
      <c r="H95" s="25">
        <f t="shared" si="27"/>
        <v>1.3722997043344929</v>
      </c>
      <c r="I95" s="25">
        <f t="shared" si="28"/>
        <v>1.3223879486387486</v>
      </c>
      <c r="J95" s="25">
        <f t="shared" si="29"/>
        <v>1.5681167789892814</v>
      </c>
      <c r="K95" s="25">
        <f t="shared" si="30"/>
        <v>1.2956803914773278</v>
      </c>
      <c r="L95" s="25">
        <f t="shared" si="31"/>
        <v>1.7730759415979556</v>
      </c>
      <c r="M95" s="2">
        <v>153.72800000000001</v>
      </c>
      <c r="N95" s="27">
        <v>1.5071372549019608</v>
      </c>
      <c r="O95" s="26">
        <v>1.5323660714285721</v>
      </c>
      <c r="P95">
        <v>1.4940617577197151</v>
      </c>
      <c r="Q95" s="2">
        <v>174.81700000000001</v>
      </c>
      <c r="R95" s="2">
        <f t="shared" si="34"/>
        <v>1.191663258350375</v>
      </c>
      <c r="S95" s="2">
        <v>210.55600000000001</v>
      </c>
      <c r="T95" s="2">
        <f t="shared" si="35"/>
        <v>1.4102880107166778</v>
      </c>
      <c r="U95" s="2">
        <v>819.34342087025004</v>
      </c>
      <c r="V95" s="2">
        <f t="shared" si="36"/>
        <v>0.90435463788951087</v>
      </c>
      <c r="W95">
        <v>1.232067510548523</v>
      </c>
      <c r="X95" s="2">
        <v>137.22200000000001</v>
      </c>
      <c r="Y95" s="2">
        <f t="shared" si="37"/>
        <v>1.3245366795366798</v>
      </c>
      <c r="Z95">
        <v>1414</v>
      </c>
      <c r="AA95" s="2">
        <f t="shared" si="41"/>
        <v>1.0351390922401171</v>
      </c>
      <c r="AB95" s="2">
        <v>137.22200000000001</v>
      </c>
      <c r="AC95" s="2">
        <f t="shared" si="38"/>
        <v>1.3245366795366798</v>
      </c>
      <c r="AD95">
        <v>1.365168539325843</v>
      </c>
      <c r="AE95" s="2">
        <v>99.703000000000003</v>
      </c>
      <c r="AF95" s="27">
        <f t="shared" si="33"/>
        <v>1.1553070683661646</v>
      </c>
      <c r="AG95" s="46">
        <v>1.0565853658536586</v>
      </c>
      <c r="AH95" s="46">
        <v>1.2877263581488934</v>
      </c>
      <c r="AI95" s="46">
        <v>1.3212487411883183</v>
      </c>
      <c r="AJ95" s="46">
        <v>1.0609284332688587</v>
      </c>
      <c r="AK95" s="46">
        <v>0.98254122211445205</v>
      </c>
      <c r="AL95" s="48">
        <v>2.81887</v>
      </c>
      <c r="AM95" s="48">
        <v>1.5503349514563107</v>
      </c>
      <c r="AN95" s="48">
        <v>1.8626450511945389</v>
      </c>
      <c r="AO95" s="2">
        <v>460.541</v>
      </c>
      <c r="AP95">
        <f t="shared" si="39"/>
        <v>0.96878293410969307</v>
      </c>
      <c r="AQ95" s="27">
        <f t="shared" si="40"/>
        <v>1.1225758216798299E-2</v>
      </c>
      <c r="AR95" s="52">
        <v>319.36900000000003</v>
      </c>
      <c r="AS95" s="52">
        <v>1.550334951</v>
      </c>
    </row>
    <row r="96" spans="1:45" ht="14.4" x14ac:dyDescent="0.3">
      <c r="A96" s="5">
        <v>44835</v>
      </c>
      <c r="B96">
        <v>1.216187433439829</v>
      </c>
      <c r="C96">
        <v>1.305027932960894</v>
      </c>
      <c r="D96">
        <v>1.1457446808510641</v>
      </c>
      <c r="E96">
        <v>1.362921348314607</v>
      </c>
      <c r="F96" s="25">
        <f t="shared" si="25"/>
        <v>1.3643306415183361</v>
      </c>
      <c r="G96" s="25">
        <f t="shared" si="26"/>
        <v>1.3345133050932307</v>
      </c>
      <c r="H96" s="25">
        <f t="shared" si="27"/>
        <v>1.3762662873074099</v>
      </c>
      <c r="I96" s="25">
        <f t="shared" si="28"/>
        <v>1.3507435604481381</v>
      </c>
      <c r="J96" s="25">
        <f t="shared" si="29"/>
        <v>1.6287860895100907</v>
      </c>
      <c r="K96" s="25">
        <f t="shared" si="30"/>
        <v>1.3048632185390101</v>
      </c>
      <c r="L96" s="25">
        <f t="shared" si="31"/>
        <v>1.8180867837400878</v>
      </c>
      <c r="M96" s="2">
        <v>155.108</v>
      </c>
      <c r="N96" s="27">
        <v>1.5206666666666666</v>
      </c>
      <c r="O96" s="26">
        <v>1.5011160714285721</v>
      </c>
      <c r="P96">
        <v>1.478622327790974</v>
      </c>
      <c r="Q96" s="2">
        <v>170.33600000000001</v>
      </c>
      <c r="R96" s="2">
        <f t="shared" si="34"/>
        <v>1.1611179277436947</v>
      </c>
      <c r="S96" s="2">
        <v>203.517</v>
      </c>
      <c r="T96" s="2">
        <f t="shared" si="35"/>
        <v>1.3631413261888814</v>
      </c>
      <c r="U96" s="2">
        <v>786.07006847324305</v>
      </c>
      <c r="V96" s="2">
        <f t="shared" si="36"/>
        <v>0.86762899905249569</v>
      </c>
      <c r="W96">
        <v>1.2278481012658231</v>
      </c>
      <c r="X96" s="2">
        <v>135.41200000000001</v>
      </c>
      <c r="Y96" s="2">
        <f t="shared" si="37"/>
        <v>1.3070656370656373</v>
      </c>
      <c r="Z96">
        <v>1469.2</v>
      </c>
      <c r="AA96" s="2">
        <f t="shared" si="41"/>
        <v>1.0755490483162518</v>
      </c>
      <c r="AB96" s="2">
        <v>135.41200000000001</v>
      </c>
      <c r="AC96" s="2">
        <f t="shared" si="38"/>
        <v>1.3070656370656373</v>
      </c>
      <c r="AD96">
        <v>1.362921348314607</v>
      </c>
      <c r="AE96" s="2">
        <v>91.51</v>
      </c>
      <c r="AF96" s="27">
        <f t="shared" si="33"/>
        <v>1.0603707995365006</v>
      </c>
      <c r="AG96" s="46">
        <v>1.0731707317073171</v>
      </c>
      <c r="AH96" s="46">
        <v>1.2967806841046277</v>
      </c>
      <c r="AI96" s="46">
        <v>1.3323262839879155</v>
      </c>
      <c r="AJ96" s="46">
        <v>1.0802707930367506</v>
      </c>
      <c r="AK96" s="46">
        <v>0.98739088263821539</v>
      </c>
      <c r="AL96" s="48">
        <v>2.8519700000000001</v>
      </c>
      <c r="AM96" s="48">
        <v>1.5101407766990291</v>
      </c>
      <c r="AN96" s="48">
        <v>1.8117349260523321</v>
      </c>
      <c r="AO96" s="2">
        <v>445.00599999999997</v>
      </c>
      <c r="AP96">
        <f t="shared" si="39"/>
        <v>0.96626793271391687</v>
      </c>
      <c r="AQ96" s="27">
        <f t="shared" si="40"/>
        <v>1.1196615674552919E-2</v>
      </c>
      <c r="AR96" s="52">
        <v>311.089</v>
      </c>
      <c r="AS96" s="52">
        <v>1.5101407769999999</v>
      </c>
    </row>
    <row r="97" spans="1:45" ht="14.4" x14ac:dyDescent="0.3">
      <c r="A97" s="5">
        <v>44866</v>
      </c>
      <c r="B97">
        <v>1.221512247071352</v>
      </c>
      <c r="C97">
        <v>1.30391061452514</v>
      </c>
      <c r="D97">
        <v>1.147872340425532</v>
      </c>
      <c r="E97">
        <v>1.357303370786517</v>
      </c>
      <c r="F97" s="25">
        <f t="shared" si="25"/>
        <v>1.3832919374345616</v>
      </c>
      <c r="G97" s="25">
        <f t="shared" si="26"/>
        <v>1.3438193708944317</v>
      </c>
      <c r="H97" s="25">
        <f t="shared" si="27"/>
        <v>1.3802328702803268</v>
      </c>
      <c r="I97" s="25">
        <f t="shared" si="28"/>
        <v>1.3790991722575279</v>
      </c>
      <c r="J97" s="25">
        <f t="shared" si="29"/>
        <v>1.6894554000309001</v>
      </c>
      <c r="K97" s="25">
        <f t="shared" si="30"/>
        <v>1.3140460456006922</v>
      </c>
      <c r="L97" s="25">
        <f t="shared" si="31"/>
        <v>1.8630976258822201</v>
      </c>
      <c r="M97" s="2">
        <v>153.49600000000001</v>
      </c>
      <c r="N97" s="27">
        <v>1.5048627450980394</v>
      </c>
      <c r="O97" s="26">
        <v>1.4776785714285721</v>
      </c>
      <c r="P97">
        <v>1.45249406175772</v>
      </c>
      <c r="Q97" s="2">
        <v>168.91900000000001</v>
      </c>
      <c r="R97" s="2">
        <f t="shared" si="34"/>
        <v>1.15145875937287</v>
      </c>
      <c r="S97" s="2">
        <v>208.05</v>
      </c>
      <c r="T97" s="2">
        <f t="shared" si="35"/>
        <v>1.3935030140656397</v>
      </c>
      <c r="U97" s="2">
        <v>789.78205511169995</v>
      </c>
      <c r="V97" s="2">
        <f t="shared" si="36"/>
        <v>0.8717261239536841</v>
      </c>
      <c r="W97">
        <v>1.2267932489451481</v>
      </c>
      <c r="X97" s="2">
        <v>136.72399999999999</v>
      </c>
      <c r="Y97" s="2">
        <f t="shared" si="37"/>
        <v>1.3197297297297297</v>
      </c>
      <c r="Z97">
        <v>1445.5</v>
      </c>
      <c r="AA97" s="2">
        <f t="shared" si="41"/>
        <v>1.058199121522694</v>
      </c>
      <c r="AB97" s="2">
        <v>136.72399999999999</v>
      </c>
      <c r="AC97" s="2">
        <f t="shared" si="38"/>
        <v>1.3197297297297297</v>
      </c>
      <c r="AD97">
        <v>1.357303370786517</v>
      </c>
      <c r="AE97" s="2">
        <v>86.61</v>
      </c>
      <c r="AF97" s="27">
        <f t="shared" si="33"/>
        <v>1.0035921205098495</v>
      </c>
      <c r="AG97" s="46">
        <v>1.0926829268292684</v>
      </c>
      <c r="AH97" s="46">
        <v>1.3732394366197183</v>
      </c>
      <c r="AI97" s="46">
        <v>1.3786505538771401</v>
      </c>
      <c r="AJ97" s="46">
        <v>1.0667311411992262</v>
      </c>
      <c r="AK97" s="46">
        <v>0.99127061105722603</v>
      </c>
      <c r="AL97" s="48">
        <v>2.8633300000000004</v>
      </c>
      <c r="AM97" s="48">
        <v>1.4502184466019419</v>
      </c>
      <c r="AN97" s="48">
        <v>1.8060580204778156</v>
      </c>
      <c r="AO97" s="2">
        <v>430.14800000000002</v>
      </c>
      <c r="AP97">
        <f t="shared" si="39"/>
        <v>0.96661168613456905</v>
      </c>
      <c r="AQ97" s="27">
        <f t="shared" si="40"/>
        <v>1.1200598912335678E-2</v>
      </c>
      <c r="AR97" s="52">
        <v>298.745</v>
      </c>
      <c r="AS97" s="52">
        <v>1.4502184469999999</v>
      </c>
    </row>
    <row r="98" spans="1:45" ht="14.4" x14ac:dyDescent="0.3">
      <c r="A98" s="5">
        <v>44896</v>
      </c>
      <c r="B98">
        <v>1.2236421725239619</v>
      </c>
      <c r="C98">
        <v>1.3016759776536311</v>
      </c>
      <c r="D98">
        <v>1.1499999999999999</v>
      </c>
      <c r="E98">
        <v>1.351685393258427</v>
      </c>
      <c r="F98" s="25">
        <f t="shared" si="25"/>
        <v>1.4022532333507871</v>
      </c>
      <c r="G98" s="25">
        <f t="shared" si="26"/>
        <v>1.3531254366956325</v>
      </c>
      <c r="H98" s="25">
        <f t="shared" si="27"/>
        <v>1.3841994532532436</v>
      </c>
      <c r="I98" s="25">
        <f t="shared" si="28"/>
        <v>1.4074547840669176</v>
      </c>
      <c r="J98" s="25">
        <f t="shared" si="29"/>
        <v>1.7501247105517095</v>
      </c>
      <c r="K98" s="25">
        <f t="shared" si="30"/>
        <v>1.3232288726623742</v>
      </c>
      <c r="L98" s="25">
        <f t="shared" si="31"/>
        <v>1.9081084680243521</v>
      </c>
      <c r="M98" s="2">
        <v>151.48099999999999</v>
      </c>
      <c r="N98" s="27">
        <v>1.4851078431372549</v>
      </c>
      <c r="O98" s="26">
        <v>1.458705357142857</v>
      </c>
      <c r="P98">
        <v>1.4275534441805231</v>
      </c>
      <c r="Q98" s="2">
        <v>169.386</v>
      </c>
      <c r="R98" s="2">
        <f t="shared" si="34"/>
        <v>1.1546421267893661</v>
      </c>
      <c r="S98" s="2">
        <v>211.72499999999999</v>
      </c>
      <c r="T98" s="2">
        <f t="shared" si="35"/>
        <v>1.4181178834561285</v>
      </c>
      <c r="U98" s="2">
        <v>838.836850345333</v>
      </c>
      <c r="V98" s="2">
        <f t="shared" si="36"/>
        <v>0.9258706138589512</v>
      </c>
      <c r="W98">
        <v>1.224683544303798</v>
      </c>
      <c r="X98" s="2">
        <v>136.464</v>
      </c>
      <c r="Y98" s="2">
        <f t="shared" si="37"/>
        <v>1.3172200772200773</v>
      </c>
      <c r="Z98">
        <v>1385</v>
      </c>
      <c r="AA98" s="2">
        <f t="shared" si="41"/>
        <v>1.0139092240117131</v>
      </c>
      <c r="AB98" s="2">
        <v>136.464</v>
      </c>
      <c r="AC98" s="2">
        <f t="shared" si="38"/>
        <v>1.3172200772200773</v>
      </c>
      <c r="AD98">
        <v>1.351685393258427</v>
      </c>
      <c r="AE98" s="2">
        <v>86.141000000000005</v>
      </c>
      <c r="AF98" s="27">
        <f t="shared" si="33"/>
        <v>0.99815758980301283</v>
      </c>
      <c r="AG98" s="46">
        <v>1.1034146341463413</v>
      </c>
      <c r="AH98" s="46">
        <v>1.448692152917505</v>
      </c>
      <c r="AI98" s="46">
        <v>1.405840886203424</v>
      </c>
      <c r="AJ98" s="46">
        <v>1.0725338491295937</v>
      </c>
      <c r="AK98" s="46">
        <v>0.96605237633365659</v>
      </c>
      <c r="AL98" s="48">
        <v>2.7747699999999997</v>
      </c>
      <c r="AM98" s="48">
        <v>1.4232427184466019</v>
      </c>
      <c r="AN98" s="48">
        <v>1.6552389078498291</v>
      </c>
      <c r="AO98" s="2">
        <v>452.44200000000001</v>
      </c>
      <c r="AP98">
        <f t="shared" si="39"/>
        <v>1.051828672921878</v>
      </c>
      <c r="AQ98" s="27">
        <f t="shared" si="40"/>
        <v>1.2188049512420371E-2</v>
      </c>
      <c r="AR98" s="52">
        <v>293.18799999999999</v>
      </c>
      <c r="AS98" s="52">
        <v>1.423242718</v>
      </c>
    </row>
    <row r="99" spans="1:45" ht="14.4" x14ac:dyDescent="0.3">
      <c r="A99" s="5">
        <v>44927</v>
      </c>
      <c r="B99">
        <v>1.2385516506922261</v>
      </c>
      <c r="C99">
        <v>1.3117318435754191</v>
      </c>
      <c r="D99">
        <v>1.172340425531915</v>
      </c>
      <c r="E99">
        <v>1.3494382022471909</v>
      </c>
      <c r="F99" s="25">
        <f t="shared" si="25"/>
        <v>1.4212145292670124</v>
      </c>
      <c r="G99" s="25">
        <f t="shared" si="26"/>
        <v>1.3624315024968334</v>
      </c>
      <c r="H99" s="25">
        <f t="shared" si="27"/>
        <v>1.3881660362261605</v>
      </c>
      <c r="I99" s="25">
        <f t="shared" si="28"/>
        <v>1.4358103958763071</v>
      </c>
      <c r="J99" s="25">
        <f t="shared" si="29"/>
        <v>1.8107940210725189</v>
      </c>
      <c r="K99" s="25">
        <f t="shared" si="30"/>
        <v>1.3324116997240565</v>
      </c>
      <c r="L99" s="25">
        <f t="shared" si="31"/>
        <v>1.9531193101664841</v>
      </c>
      <c r="M99" s="2">
        <v>155.922</v>
      </c>
      <c r="N99" s="27">
        <v>1.5286470588235295</v>
      </c>
      <c r="O99" s="26">
        <v>1.4620535714285721</v>
      </c>
      <c r="P99">
        <v>1.401425178147268</v>
      </c>
      <c r="Q99" s="2">
        <v>169.166</v>
      </c>
      <c r="R99" s="2">
        <f t="shared" si="34"/>
        <v>1.1531424676209954</v>
      </c>
      <c r="S99" s="2">
        <v>217.20500000000001</v>
      </c>
      <c r="T99" s="2">
        <f t="shared" si="35"/>
        <v>1.4548225050234427</v>
      </c>
      <c r="U99" s="2">
        <v>919.36947513603002</v>
      </c>
      <c r="V99" s="2">
        <f t="shared" si="36"/>
        <v>1.0147589247622444</v>
      </c>
      <c r="W99">
        <v>1.221518987341772</v>
      </c>
      <c r="X99" s="2">
        <v>135.75899999999999</v>
      </c>
      <c r="Y99" s="2">
        <f t="shared" si="37"/>
        <v>1.3104150579150577</v>
      </c>
      <c r="Z99">
        <v>1325.166666666667</v>
      </c>
      <c r="AA99" s="2">
        <f t="shared" si="41"/>
        <v>0.97010736944851172</v>
      </c>
      <c r="AB99" s="2">
        <v>135.75899999999999</v>
      </c>
      <c r="AC99" s="2">
        <f t="shared" si="38"/>
        <v>1.3104150579150577</v>
      </c>
      <c r="AD99">
        <v>1.3494382022471909</v>
      </c>
      <c r="AE99" s="2">
        <v>87.480999999999995</v>
      </c>
      <c r="AF99" s="27">
        <f t="shared" si="33"/>
        <v>1.0136848203939746</v>
      </c>
      <c r="AG99" s="46">
        <v>1.1082926829268291</v>
      </c>
      <c r="AH99" s="46">
        <v>1.4366197183098592</v>
      </c>
      <c r="AI99" s="46">
        <v>1.3997985901309165</v>
      </c>
      <c r="AJ99" s="46">
        <v>1.067698259187621</v>
      </c>
      <c r="AK99" s="46">
        <v>0.96993210475266733</v>
      </c>
      <c r="AL99" s="48">
        <v>2.8711099999999998</v>
      </c>
      <c r="AM99" s="48">
        <v>1.4041650485436892</v>
      </c>
      <c r="AN99" s="48">
        <v>1.5549317406143346</v>
      </c>
      <c r="AO99" s="2">
        <v>500.68799999999999</v>
      </c>
      <c r="AP99">
        <f t="shared" si="39"/>
        <v>1.1066346625644834</v>
      </c>
      <c r="AQ99" s="27">
        <f t="shared" si="40"/>
        <v>1.2823113123574547E-2</v>
      </c>
      <c r="AR99" s="55">
        <v>289.25799999999998</v>
      </c>
      <c r="AS99" s="55">
        <v>1.4041650489999999</v>
      </c>
    </row>
    <row r="100" spans="1:45" ht="14.4" x14ac:dyDescent="0.3">
      <c r="A100" s="5">
        <v>44958</v>
      </c>
      <c r="B100">
        <v>1.2417465388711391</v>
      </c>
      <c r="C100">
        <v>1.3128491620111731</v>
      </c>
      <c r="D100">
        <v>1.178723404255319</v>
      </c>
      <c r="E100">
        <v>1.3460674157303369</v>
      </c>
      <c r="M100" s="2">
        <v>155.78399999999999</v>
      </c>
      <c r="N100" s="27">
        <v>1.5272941176470587</v>
      </c>
      <c r="O100" s="26">
        <v>1.459821428571429</v>
      </c>
      <c r="P100">
        <v>1.393111638954869</v>
      </c>
      <c r="Q100" s="2">
        <v>166.36099999999999</v>
      </c>
      <c r="R100" s="2">
        <f t="shared" si="34"/>
        <v>1.1340218132242672</v>
      </c>
      <c r="S100" s="2">
        <v>220.64500000000001</v>
      </c>
      <c r="T100" s="2">
        <f t="shared" si="35"/>
        <v>1.4778633623576691</v>
      </c>
      <c r="U100" s="2">
        <v>949.85530658235598</v>
      </c>
      <c r="V100" s="2">
        <f t="shared" si="36"/>
        <v>1.048407822594511</v>
      </c>
      <c r="W100">
        <v>1.2078059071729961</v>
      </c>
      <c r="X100" s="2">
        <v>135.322</v>
      </c>
      <c r="Y100" s="2">
        <f t="shared" si="37"/>
        <v>1.3061969111969114</v>
      </c>
      <c r="Z100">
        <v>1331.75</v>
      </c>
      <c r="AA100" s="2">
        <f t="shared" si="41"/>
        <v>0.97492679355783307</v>
      </c>
      <c r="AB100" s="2">
        <v>135.322</v>
      </c>
      <c r="AC100" s="2">
        <f t="shared" si="38"/>
        <v>1.3061969111969114</v>
      </c>
      <c r="AD100">
        <v>1.3460674157303369</v>
      </c>
      <c r="AE100" s="2">
        <v>86.856999999999999</v>
      </c>
      <c r="AF100" s="27">
        <f t="shared" ref="AF100:AF129" si="42">AE100/$AE$3</f>
        <v>1.0064542294322132</v>
      </c>
      <c r="AG100" s="46">
        <v>1.1278048780487804</v>
      </c>
      <c r="AH100" s="46">
        <v>1.4999999999999998</v>
      </c>
      <c r="AI100" s="46">
        <v>1.416918429003021</v>
      </c>
      <c r="AJ100" s="46">
        <v>1.0667311411992262</v>
      </c>
      <c r="AK100" s="46">
        <v>0.9990300678952474</v>
      </c>
      <c r="AL100" s="48">
        <v>2.8869500000000001</v>
      </c>
      <c r="AM100" s="48">
        <v>1.3818349514563109</v>
      </c>
      <c r="AN100" s="48">
        <v>1.543202502844141</v>
      </c>
      <c r="AO100" s="2">
        <v>530.59199999999998</v>
      </c>
      <c r="AP100">
        <f t="shared" si="39"/>
        <v>1.0597258172754289</v>
      </c>
      <c r="AQ100" s="27">
        <f t="shared" si="40"/>
        <v>1.2279557558232086E-2</v>
      </c>
      <c r="AR100" s="52">
        <v>284.65800000000002</v>
      </c>
      <c r="AS100" s="52">
        <v>1.3818349510000001</v>
      </c>
    </row>
    <row r="101" spans="1:45" ht="14.4" x14ac:dyDescent="0.3">
      <c r="A101" s="5">
        <v>44986</v>
      </c>
      <c r="B101">
        <v>1.2385516506922261</v>
      </c>
      <c r="C101">
        <v>1.3139664804469271</v>
      </c>
      <c r="D101">
        <v>1.182978723404255</v>
      </c>
      <c r="E101">
        <v>1.3415730337078651</v>
      </c>
      <c r="M101" s="2">
        <v>154.37100000000001</v>
      </c>
      <c r="N101" s="27">
        <v>1.5134411764705884</v>
      </c>
      <c r="O101" s="26">
        <v>1.4296875</v>
      </c>
      <c r="P101">
        <v>1.3788598574821851</v>
      </c>
      <c r="Q101" s="2">
        <v>166.53100000000001</v>
      </c>
      <c r="R101" s="2">
        <f t="shared" si="34"/>
        <v>1.135180640763463</v>
      </c>
      <c r="S101" s="2">
        <v>221.078</v>
      </c>
      <c r="T101" s="2">
        <f t="shared" si="35"/>
        <v>1.4807635632953784</v>
      </c>
      <c r="U101" s="2">
        <v>902.29940698601399</v>
      </c>
      <c r="V101" s="2">
        <f t="shared" si="36"/>
        <v>0.99591774668314248</v>
      </c>
      <c r="W101">
        <v>1.201476793248945</v>
      </c>
      <c r="X101" s="2">
        <v>131.71199999999999</v>
      </c>
      <c r="Y101" s="2">
        <f t="shared" si="37"/>
        <v>1.2713513513513512</v>
      </c>
      <c r="Z101">
        <v>1352.25</v>
      </c>
      <c r="AA101" s="2">
        <f t="shared" si="41"/>
        <v>0.9899341142020498</v>
      </c>
      <c r="AB101" s="2">
        <v>131.71199999999999</v>
      </c>
      <c r="AC101" s="2">
        <f t="shared" si="38"/>
        <v>1.2713513513513512</v>
      </c>
      <c r="AD101">
        <v>1.3415730337078651</v>
      </c>
      <c r="AE101" s="2">
        <v>84.822999999999993</v>
      </c>
      <c r="AF101" s="27">
        <f t="shared" si="42"/>
        <v>0.98288528389339513</v>
      </c>
      <c r="AG101" s="46">
        <v>1.1317073170731706</v>
      </c>
      <c r="AH101" s="46">
        <v>1.4989939637826961</v>
      </c>
      <c r="AI101" s="46">
        <v>1.416918429003021</v>
      </c>
      <c r="AJ101" s="46">
        <v>1.0860735009671179</v>
      </c>
      <c r="AK101" s="46">
        <v>0.98351115421920476</v>
      </c>
      <c r="AL101" s="48">
        <v>2.8497500000000002</v>
      </c>
      <c r="AM101" s="48">
        <v>1.3685388349514562</v>
      </c>
      <c r="AN101" s="48">
        <v>1.5548065984072807</v>
      </c>
      <c r="AO101" s="2">
        <v>582.35400000000004</v>
      </c>
      <c r="AP101">
        <f t="shared" si="39"/>
        <v>1.0975551836439299</v>
      </c>
      <c r="AQ101" s="27">
        <f t="shared" si="40"/>
        <v>1.2717904793093046E-2</v>
      </c>
      <c r="AR101" s="52">
        <v>281.91899999999998</v>
      </c>
      <c r="AS101" s="52">
        <v>1.3685388350000001</v>
      </c>
    </row>
    <row r="102" spans="1:45" ht="14.4" x14ac:dyDescent="0.3">
      <c r="A102" s="5">
        <v>45017</v>
      </c>
      <c r="B102">
        <v>1.2385516506922261</v>
      </c>
      <c r="C102">
        <v>1.3128491620111731</v>
      </c>
      <c r="D102">
        <v>1.1882978723404261</v>
      </c>
      <c r="E102">
        <v>1.3325842696629211</v>
      </c>
      <c r="M102" s="2">
        <v>154.88300000000001</v>
      </c>
      <c r="N102" s="27">
        <v>1.5184607843137257</v>
      </c>
      <c r="O102" s="26">
        <v>1.410714285714286</v>
      </c>
      <c r="P102">
        <v>1.3551068883610451</v>
      </c>
      <c r="Q102" s="2">
        <v>162.52699999999999</v>
      </c>
      <c r="R102" s="2">
        <f t="shared" si="34"/>
        <v>1.1078868438991138</v>
      </c>
      <c r="S102" s="2">
        <v>196.61500000000001</v>
      </c>
      <c r="T102" s="2">
        <f t="shared" si="35"/>
        <v>1.3169122572002678</v>
      </c>
      <c r="U102" s="2">
        <v>903.32942435717996</v>
      </c>
      <c r="V102" s="2">
        <f t="shared" si="36"/>
        <v>0.99705463380885018</v>
      </c>
      <c r="W102">
        <v>1.185654008438819</v>
      </c>
      <c r="X102" s="2">
        <v>132.18899999999999</v>
      </c>
      <c r="Y102" s="2">
        <f t="shared" si="37"/>
        <v>1.2759555984555984</v>
      </c>
      <c r="Z102">
        <v>1279.25</v>
      </c>
      <c r="AA102" s="2">
        <f t="shared" si="41"/>
        <v>0.93649341142020492</v>
      </c>
      <c r="AB102" s="2">
        <v>132.18899999999999</v>
      </c>
      <c r="AC102" s="2">
        <f t="shared" si="38"/>
        <v>1.2759555984555984</v>
      </c>
      <c r="AD102">
        <v>1.3325842696629211</v>
      </c>
      <c r="AE102" s="2">
        <v>87.278000000000006</v>
      </c>
      <c r="AF102" s="27">
        <f t="shared" si="42"/>
        <v>1.0113325608342991</v>
      </c>
      <c r="AG102" s="46">
        <v>1.1297560975609755</v>
      </c>
      <c r="AH102" s="46">
        <v>1.4678068410462777</v>
      </c>
      <c r="AI102" s="46">
        <v>1.4068479355488419</v>
      </c>
      <c r="AJ102" s="46">
        <v>1.0783365570599612</v>
      </c>
      <c r="AK102" s="46">
        <v>0.98448108632395737</v>
      </c>
      <c r="AL102" s="48">
        <v>2.7007699999999999</v>
      </c>
      <c r="AM102" s="48">
        <v>1.3611456310679613</v>
      </c>
      <c r="AN102" s="48">
        <v>1.5872127417519908</v>
      </c>
      <c r="AO102" s="2">
        <v>569.41300000000001</v>
      </c>
      <c r="AP102">
        <f t="shared" si="39"/>
        <v>0.97777812121149676</v>
      </c>
      <c r="AQ102" s="27">
        <f t="shared" si="40"/>
        <v>1.1329989817050948E-2</v>
      </c>
      <c r="AR102" s="52">
        <v>280.39600000000002</v>
      </c>
      <c r="AS102" s="52">
        <v>1.3611456310000001</v>
      </c>
    </row>
    <row r="103" spans="1:45" ht="14.4" x14ac:dyDescent="0.3">
      <c r="A103" s="5">
        <v>45047</v>
      </c>
      <c r="B103">
        <v>1.237486687965921</v>
      </c>
      <c r="C103">
        <v>1.3117318435754191</v>
      </c>
      <c r="D103">
        <v>1.189361702127659</v>
      </c>
      <c r="E103">
        <v>1.3224719101123601</v>
      </c>
      <c r="M103" s="2">
        <v>151.32900000000001</v>
      </c>
      <c r="N103" s="27">
        <v>1.4836176470588236</v>
      </c>
      <c r="O103" s="26">
        <v>1.397321428571429</v>
      </c>
      <c r="P103">
        <v>1.3289786223277911</v>
      </c>
      <c r="Q103" s="2">
        <v>161.142</v>
      </c>
      <c r="R103" s="2">
        <f t="shared" si="34"/>
        <v>1.0984458077709611</v>
      </c>
      <c r="S103" s="2">
        <v>196.47200000000001</v>
      </c>
      <c r="T103" s="2">
        <f t="shared" si="35"/>
        <v>1.315954454119223</v>
      </c>
      <c r="U103" s="2">
        <v>897.66603012154303</v>
      </c>
      <c r="V103" s="2">
        <f t="shared" si="36"/>
        <v>0.99080363244271352</v>
      </c>
      <c r="W103">
        <v>1.183544303797468</v>
      </c>
      <c r="X103" s="2">
        <v>131.994</v>
      </c>
      <c r="Y103" s="2">
        <f t="shared" si="37"/>
        <v>1.2740733590733591</v>
      </c>
      <c r="Z103">
        <v>1189.5999999999999</v>
      </c>
      <c r="AA103" s="2">
        <f t="shared" si="41"/>
        <v>0.87086383601756945</v>
      </c>
      <c r="AB103" s="2">
        <v>131.994</v>
      </c>
      <c r="AC103" s="2">
        <f t="shared" si="38"/>
        <v>1.2740733590733591</v>
      </c>
      <c r="AD103">
        <v>1.3224719101123601</v>
      </c>
      <c r="AE103" s="2">
        <v>92.548000000000002</v>
      </c>
      <c r="AF103" s="27">
        <f t="shared" si="42"/>
        <v>1.0723986095017382</v>
      </c>
      <c r="AG103" s="46">
        <v>1.1326829268292682</v>
      </c>
      <c r="AH103" s="46">
        <v>1.4728370221327967</v>
      </c>
      <c r="AI103" s="46">
        <v>1.3967774420946626</v>
      </c>
      <c r="AJ103" s="46">
        <v>1.0870406189555126</v>
      </c>
      <c r="AK103" s="46">
        <v>0.98545101842870997</v>
      </c>
      <c r="AL103" s="48">
        <v>2.6016300000000001</v>
      </c>
      <c r="AM103" s="48">
        <v>1.3499223300970873</v>
      </c>
      <c r="AN103" s="48">
        <v>1.6839021615472125</v>
      </c>
      <c r="AO103" s="2">
        <v>539.423</v>
      </c>
      <c r="AP103">
        <f t="shared" si="39"/>
        <v>0.94733172582993364</v>
      </c>
      <c r="AQ103" s="27">
        <f t="shared" si="40"/>
        <v>1.0977192651563541E-2</v>
      </c>
      <c r="AR103" s="52">
        <v>278.084</v>
      </c>
      <c r="AS103" s="52">
        <v>1.3499223300000001</v>
      </c>
    </row>
    <row r="104" spans="1:45" ht="14.4" x14ac:dyDescent="0.3">
      <c r="A104" s="5">
        <v>45078</v>
      </c>
      <c r="B104">
        <v>1.237486687965921</v>
      </c>
      <c r="C104">
        <v>1.3083798882681561</v>
      </c>
      <c r="D104">
        <v>1.193617021276596</v>
      </c>
      <c r="E104">
        <v>1.3101123595505619</v>
      </c>
      <c r="M104" s="2">
        <v>149.773</v>
      </c>
      <c r="N104" s="27">
        <v>1.4683627450980392</v>
      </c>
      <c r="O104" s="26">
        <v>1.3839285714285721</v>
      </c>
      <c r="P104">
        <v>1.3016627078384799</v>
      </c>
      <c r="Q104" s="2">
        <v>161.22800000000001</v>
      </c>
      <c r="R104" s="2">
        <f t="shared" si="34"/>
        <v>1.0990320381731427</v>
      </c>
      <c r="S104" s="2">
        <v>196.31299999999999</v>
      </c>
      <c r="T104" s="2">
        <f t="shared" si="35"/>
        <v>1.3148894842598793</v>
      </c>
      <c r="U104" s="2">
        <v>836.88004311300006</v>
      </c>
      <c r="V104" s="2">
        <f t="shared" si="36"/>
        <v>0.92371077751812058</v>
      </c>
      <c r="W104">
        <v>1.178270042194093</v>
      </c>
      <c r="X104" s="2">
        <v>128.285</v>
      </c>
      <c r="Y104" s="2">
        <f t="shared" si="37"/>
        <v>1.2382722007722009</v>
      </c>
      <c r="Z104">
        <v>1025.5</v>
      </c>
      <c r="AA104" s="2">
        <f t="shared" si="41"/>
        <v>0.75073206442166907</v>
      </c>
      <c r="AB104" s="2">
        <v>128.285</v>
      </c>
      <c r="AC104" s="2">
        <f t="shared" si="38"/>
        <v>1.2382722007722009</v>
      </c>
      <c r="AD104">
        <v>1.3101123595505619</v>
      </c>
      <c r="AE104" s="2">
        <v>86.007000000000005</v>
      </c>
      <c r="AF104" s="27">
        <f t="shared" si="42"/>
        <v>0.99660486674391668</v>
      </c>
      <c r="AG104" s="46">
        <v>1.1219512195121952</v>
      </c>
      <c r="AH104" s="46">
        <v>1.4637826961770624</v>
      </c>
      <c r="AI104" s="46">
        <v>1.3625377643504533</v>
      </c>
      <c r="AJ104" s="46">
        <v>1.0793036750483558</v>
      </c>
      <c r="AK104" s="46">
        <v>0.98545101842870997</v>
      </c>
      <c r="AL104" s="48">
        <v>2.6941600000000001</v>
      </c>
      <c r="AM104" s="48">
        <v>1.3395728155339806</v>
      </c>
      <c r="AN104" s="48">
        <v>1.7311888509670079</v>
      </c>
      <c r="AO104" s="2">
        <v>485.84399999999999</v>
      </c>
      <c r="AP104">
        <f t="shared" si="39"/>
        <v>0.90067349742224556</v>
      </c>
      <c r="AQ104" s="27">
        <f t="shared" si="40"/>
        <v>1.0436541105703889E-2</v>
      </c>
      <c r="AR104" s="52">
        <v>275.952</v>
      </c>
      <c r="AS104" s="52">
        <v>1.339572816</v>
      </c>
    </row>
    <row r="105" spans="1:45" ht="14.4" x14ac:dyDescent="0.3">
      <c r="A105" s="5">
        <v>45108</v>
      </c>
      <c r="B105">
        <v>1.2353567625133119</v>
      </c>
      <c r="C105">
        <v>1.30391061452514</v>
      </c>
      <c r="D105">
        <v>1.1989361702127661</v>
      </c>
      <c r="E105">
        <v>1.2955056179775279</v>
      </c>
      <c r="M105" s="2">
        <v>147.85499999999999</v>
      </c>
      <c r="N105" s="27">
        <v>1.4495588235294117</v>
      </c>
      <c r="O105" s="26">
        <v>1.3526785714285721</v>
      </c>
      <c r="P105">
        <v>1.2684085510688841</v>
      </c>
      <c r="Q105" s="2">
        <v>159.893</v>
      </c>
      <c r="R105" s="2">
        <f t="shared" si="34"/>
        <v>1.089931833674165</v>
      </c>
      <c r="S105" s="2">
        <v>195.672</v>
      </c>
      <c r="T105" s="2">
        <f t="shared" si="35"/>
        <v>1.3105961152042866</v>
      </c>
      <c r="U105" s="2">
        <v>833.83893733800005</v>
      </c>
      <c r="V105" s="2">
        <f t="shared" si="36"/>
        <v>0.9203541409212066</v>
      </c>
      <c r="W105">
        <v>1.172995780590717</v>
      </c>
      <c r="X105" s="2">
        <v>128.05799999999999</v>
      </c>
      <c r="Y105" s="2">
        <f t="shared" si="37"/>
        <v>1.2360810810810812</v>
      </c>
      <c r="Z105">
        <v>961.4</v>
      </c>
      <c r="AA105" s="2">
        <f t="shared" si="41"/>
        <v>0.70380673499267932</v>
      </c>
      <c r="AB105" s="2">
        <v>128.05799999999999</v>
      </c>
      <c r="AC105" s="2">
        <f t="shared" si="38"/>
        <v>1.2360810810810812</v>
      </c>
      <c r="AD105">
        <v>1.2955056179775279</v>
      </c>
      <c r="AE105" s="2">
        <v>86.363</v>
      </c>
      <c r="AF105" s="27">
        <f t="shared" si="42"/>
        <v>1.0007300115874855</v>
      </c>
      <c r="AG105" s="46">
        <v>1.0995121951219513</v>
      </c>
      <c r="AH105" s="46">
        <v>1.4164989939637826</v>
      </c>
      <c r="AI105" s="46">
        <v>1.3464249748237662</v>
      </c>
      <c r="AJ105" s="46">
        <v>1.0512572533849129</v>
      </c>
      <c r="AK105" s="46">
        <v>0.9544131910766247</v>
      </c>
      <c r="AL105" s="48">
        <v>2.7460000000000004</v>
      </c>
      <c r="AM105" s="48">
        <v>1.3293543689320388</v>
      </c>
      <c r="AN105" s="48">
        <v>1.8436177474402728</v>
      </c>
      <c r="AO105" s="2">
        <v>471.10899999999998</v>
      </c>
      <c r="AP105">
        <f t="shared" si="39"/>
        <v>0.96967133483175671</v>
      </c>
      <c r="AQ105" s="27">
        <f t="shared" si="40"/>
        <v>1.1236052547297298E-2</v>
      </c>
      <c r="AR105" s="52">
        <v>273.84699999999998</v>
      </c>
      <c r="AS105" s="52">
        <v>1.329354369</v>
      </c>
    </row>
    <row r="106" spans="1:45" ht="14.4" x14ac:dyDescent="0.3">
      <c r="A106" s="5">
        <v>45139</v>
      </c>
      <c r="B106">
        <v>1.234291799787008</v>
      </c>
      <c r="C106">
        <v>1.3016759776536311</v>
      </c>
      <c r="D106">
        <v>1.2</v>
      </c>
      <c r="E106">
        <v>1.286516853932584</v>
      </c>
      <c r="M106" s="2">
        <v>144.47800000000001</v>
      </c>
      <c r="N106" s="27">
        <v>1.416450980392157</v>
      </c>
      <c r="O106" s="26">
        <v>1.333705357142857</v>
      </c>
      <c r="P106">
        <v>1.261282660332542</v>
      </c>
      <c r="Q106" s="2">
        <v>159.11699999999999</v>
      </c>
      <c r="R106" s="2">
        <f t="shared" si="34"/>
        <v>1.084642126789366</v>
      </c>
      <c r="S106" s="2">
        <v>195.43600000000001</v>
      </c>
      <c r="T106" s="2">
        <f t="shared" si="35"/>
        <v>1.3090154052243803</v>
      </c>
      <c r="U106" s="2">
        <v>874.34493333333296</v>
      </c>
      <c r="V106" s="2">
        <f t="shared" si="36"/>
        <v>0.96506284841507461</v>
      </c>
      <c r="W106">
        <v>1.1656118143459919</v>
      </c>
      <c r="X106" s="2">
        <v>127.517</v>
      </c>
      <c r="Y106" s="2">
        <f t="shared" si="37"/>
        <v>1.2308590733590734</v>
      </c>
      <c r="Z106">
        <v>1049.75</v>
      </c>
      <c r="AA106" s="2">
        <f t="shared" si="41"/>
        <v>0.7684846266471449</v>
      </c>
      <c r="AB106" s="2">
        <v>127.517</v>
      </c>
      <c r="AC106" s="2">
        <f t="shared" si="38"/>
        <v>1.2308590733590734</v>
      </c>
      <c r="AD106">
        <v>1.286516853932584</v>
      </c>
      <c r="AE106" s="2">
        <v>81.605999999999995</v>
      </c>
      <c r="AF106" s="27">
        <f t="shared" si="42"/>
        <v>0.94560834298957119</v>
      </c>
      <c r="AG106" s="46">
        <v>1.0360975609756098</v>
      </c>
      <c r="AH106" s="46">
        <v>1.3742454728370219</v>
      </c>
      <c r="AI106" s="46">
        <v>1.2890231621349446</v>
      </c>
      <c r="AJ106" s="46">
        <v>0.96131528046421666</v>
      </c>
      <c r="AK106" s="46">
        <v>0.91658583899127066</v>
      </c>
      <c r="AL106" s="48">
        <v>2.7398899999999999</v>
      </c>
      <c r="AM106" s="48">
        <v>1.3478737864077668</v>
      </c>
      <c r="AN106" s="48">
        <v>2.0919112627986345</v>
      </c>
      <c r="AO106" s="2">
        <v>475.411</v>
      </c>
      <c r="AP106">
        <f t="shared" si="39"/>
        <v>1.0091316446936909</v>
      </c>
      <c r="AQ106" s="27">
        <f t="shared" si="40"/>
        <v>1.1693298316265248E-2</v>
      </c>
      <c r="AR106" s="52">
        <v>277.66199999999998</v>
      </c>
      <c r="AS106" s="52">
        <v>1.3478737860000001</v>
      </c>
    </row>
    <row r="107" spans="1:45" ht="14.4" x14ac:dyDescent="0.3">
      <c r="A107" s="5">
        <v>45170</v>
      </c>
      <c r="B107">
        <v>1.2353567625133119</v>
      </c>
      <c r="C107">
        <v>1.3027932960893851</v>
      </c>
      <c r="D107">
        <v>1.2021276595744681</v>
      </c>
      <c r="E107">
        <v>1.2820224719101121</v>
      </c>
      <c r="M107" s="2">
        <v>143.71100000000001</v>
      </c>
      <c r="N107" s="27">
        <v>1.4089313725490198</v>
      </c>
      <c r="O107" s="26">
        <v>1.324776785714286</v>
      </c>
      <c r="P107">
        <v>1.2684085510688841</v>
      </c>
      <c r="Q107" s="2">
        <v>156.76</v>
      </c>
      <c r="R107" s="2">
        <f t="shared" si="34"/>
        <v>1.0685753237900477</v>
      </c>
      <c r="S107" s="2">
        <v>195.87299999999999</v>
      </c>
      <c r="T107" s="2">
        <f t="shared" si="35"/>
        <v>1.3119423978566642</v>
      </c>
      <c r="U107" s="2">
        <v>842.34277499999996</v>
      </c>
      <c r="V107" s="2">
        <f t="shared" si="36"/>
        <v>0.92974029675476511</v>
      </c>
      <c r="W107">
        <v>1.159282700421941</v>
      </c>
      <c r="X107" s="2">
        <v>124.139</v>
      </c>
      <c r="Y107" s="2">
        <f t="shared" si="37"/>
        <v>1.1982528957528957</v>
      </c>
      <c r="Z107">
        <v>1156.25</v>
      </c>
      <c r="AA107" s="2">
        <f t="shared" si="41"/>
        <v>0.84644948755490479</v>
      </c>
      <c r="AB107" s="2">
        <v>124.139</v>
      </c>
      <c r="AC107" s="2">
        <f t="shared" si="38"/>
        <v>1.1982528957528957</v>
      </c>
      <c r="AD107">
        <v>1.2820224719101121</v>
      </c>
      <c r="AE107" s="2">
        <v>79.274000000000001</v>
      </c>
      <c r="AF107" s="27">
        <f t="shared" si="42"/>
        <v>0.91858632676709162</v>
      </c>
      <c r="AG107" s="46">
        <v>1.0487804878048781</v>
      </c>
      <c r="AH107" s="46">
        <v>1.4124748490945673</v>
      </c>
      <c r="AI107" s="46">
        <v>1.298086606243706</v>
      </c>
      <c r="AJ107" s="46">
        <v>0.98549323017408119</v>
      </c>
      <c r="AK107" s="46">
        <v>0.93792434529582935</v>
      </c>
      <c r="AL107" s="48">
        <v>2.66859</v>
      </c>
      <c r="AM107" s="48">
        <v>1.3661262135922332</v>
      </c>
      <c r="AN107" s="48">
        <v>2.0887030716723549</v>
      </c>
      <c r="AO107" s="2">
        <v>478.80200000000002</v>
      </c>
      <c r="AP107">
        <f t="shared" si="39"/>
        <v>1.0071327756404458</v>
      </c>
      <c r="AQ107" s="27">
        <f t="shared" si="40"/>
        <v>1.1670136450063104E-2</v>
      </c>
      <c r="AR107" s="52">
        <v>281.42200000000003</v>
      </c>
      <c r="AS107" s="52">
        <v>1.3661262139999999</v>
      </c>
    </row>
    <row r="108" spans="1:45" ht="14.4" x14ac:dyDescent="0.3">
      <c r="A108" s="5">
        <v>45200</v>
      </c>
      <c r="B108">
        <v>1.2321618743343981</v>
      </c>
      <c r="C108">
        <v>1.299441340782123</v>
      </c>
      <c r="D108">
        <v>1.2021276595744681</v>
      </c>
      <c r="E108">
        <v>1.2719101123595511</v>
      </c>
      <c r="M108" s="2">
        <v>142.822</v>
      </c>
      <c r="N108" s="27">
        <v>1.4002156862745099</v>
      </c>
      <c r="O108" s="26">
        <v>1.315848214285714</v>
      </c>
      <c r="P108">
        <v>1.2707838479809981</v>
      </c>
      <c r="Q108" s="2">
        <v>156.76</v>
      </c>
      <c r="R108" s="2">
        <f t="shared" si="34"/>
        <v>1.0685753237900477</v>
      </c>
      <c r="S108" s="2">
        <v>195.48400000000001</v>
      </c>
      <c r="T108" s="2">
        <f t="shared" si="35"/>
        <v>1.3093369055592765</v>
      </c>
      <c r="U108" s="2">
        <v>835.89387777777802</v>
      </c>
      <c r="V108" s="2">
        <f t="shared" si="36"/>
        <v>0.92262229230921189</v>
      </c>
      <c r="W108">
        <v>1.144514767932489</v>
      </c>
      <c r="X108" s="2">
        <v>124.372</v>
      </c>
      <c r="Y108" s="2">
        <f t="shared" si="37"/>
        <v>1.2005019305019307</v>
      </c>
      <c r="Z108">
        <v>1221.5999999999999</v>
      </c>
      <c r="AA108" s="2">
        <f t="shared" si="41"/>
        <v>0.89428989751098087</v>
      </c>
      <c r="AB108" s="2">
        <v>124.372</v>
      </c>
      <c r="AC108" s="2">
        <f t="shared" si="38"/>
        <v>1.2005019305019307</v>
      </c>
      <c r="AD108">
        <v>1.2719101123595511</v>
      </c>
      <c r="AE108" s="2">
        <v>79.731999999999999</v>
      </c>
      <c r="AF108" s="27">
        <f t="shared" si="42"/>
        <v>0.92389339513325608</v>
      </c>
      <c r="AG108" s="46">
        <v>1.0380487804878049</v>
      </c>
      <c r="AH108" s="46">
        <v>1.43158953722334</v>
      </c>
      <c r="AI108" s="46">
        <v>1.2890231621349446</v>
      </c>
      <c r="AJ108" s="46">
        <v>0.97292069632495148</v>
      </c>
      <c r="AK108" s="46">
        <v>0.92337536372453932</v>
      </c>
      <c r="AL108" s="48">
        <v>2.5219900000000002</v>
      </c>
      <c r="AM108" s="48">
        <v>1.3885776699029126</v>
      </c>
      <c r="AN108" s="48">
        <v>1.7051023890784982</v>
      </c>
      <c r="AO108" s="2">
        <v>468.226</v>
      </c>
      <c r="AP108">
        <f t="shared" si="39"/>
        <v>0.9779115375457913</v>
      </c>
      <c r="AQ108" s="27">
        <f t="shared" si="40"/>
        <v>1.1331535776892136E-2</v>
      </c>
      <c r="AR108" s="52">
        <v>286.04700000000003</v>
      </c>
      <c r="AS108" s="52">
        <v>1.3885776700000001</v>
      </c>
    </row>
    <row r="109" spans="1:45" ht="14.4" x14ac:dyDescent="0.3">
      <c r="A109" s="5">
        <v>45231</v>
      </c>
      <c r="B109">
        <v>1.2310969116080941</v>
      </c>
      <c r="C109">
        <v>1.297206703910615</v>
      </c>
      <c r="D109">
        <v>1.204255319148936</v>
      </c>
      <c r="E109">
        <v>1.273033707865169</v>
      </c>
      <c r="M109" s="2">
        <v>141.18299999999999</v>
      </c>
      <c r="N109" s="27">
        <v>1.3841470588235294</v>
      </c>
      <c r="O109" s="26">
        <v>1.306919642857143</v>
      </c>
      <c r="P109">
        <v>1.260095011876484</v>
      </c>
      <c r="Q109" s="2">
        <v>155.54499999999999</v>
      </c>
      <c r="R109" s="2">
        <f t="shared" si="34"/>
        <v>1.0602931152010906</v>
      </c>
      <c r="S109" s="2">
        <v>195.48599999999999</v>
      </c>
      <c r="T109" s="2">
        <f t="shared" si="35"/>
        <v>1.3093503014065637</v>
      </c>
      <c r="U109" s="2">
        <v>865.96609999999998</v>
      </c>
      <c r="V109" s="2">
        <f t="shared" si="36"/>
        <v>0.95581466677097882</v>
      </c>
      <c r="W109">
        <v>1.14873417721519</v>
      </c>
      <c r="X109" s="2">
        <v>125.051</v>
      </c>
      <c r="Y109" s="2">
        <f t="shared" si="37"/>
        <v>1.2070559845559847</v>
      </c>
      <c r="Z109">
        <v>1109.25</v>
      </c>
      <c r="AA109" s="2">
        <f t="shared" si="41"/>
        <v>0.81204245973645683</v>
      </c>
      <c r="AB109" s="2">
        <v>125.051</v>
      </c>
      <c r="AC109" s="2">
        <f t="shared" si="38"/>
        <v>1.2070559845559847</v>
      </c>
      <c r="AD109">
        <v>1.273033707865169</v>
      </c>
      <c r="AE109" s="2">
        <v>87.503</v>
      </c>
      <c r="AF109" s="27">
        <f t="shared" si="42"/>
        <v>1.0139397450753187</v>
      </c>
      <c r="AG109" s="46">
        <v>1.0263414634146342</v>
      </c>
      <c r="AH109" s="46">
        <v>1.4094567404426559</v>
      </c>
      <c r="AI109" s="46">
        <v>1.2578046324269889</v>
      </c>
      <c r="AJ109" s="46">
        <v>0.96228239845261121</v>
      </c>
      <c r="AK109" s="46">
        <v>0.91755577109602326</v>
      </c>
      <c r="AL109" s="48">
        <v>2.5219900000000002</v>
      </c>
      <c r="AM109" s="48">
        <v>1.3718883495145631</v>
      </c>
      <c r="AN109" s="48">
        <v>1.664334470989761</v>
      </c>
      <c r="AO109" s="2">
        <v>486.22399999999999</v>
      </c>
      <c r="AP109">
        <f t="shared" si="39"/>
        <v>1.0384387026777666</v>
      </c>
      <c r="AQ109" s="27">
        <f t="shared" si="40"/>
        <v>1.2032893426161838E-2</v>
      </c>
      <c r="AR109" s="52">
        <v>282.60899999999998</v>
      </c>
      <c r="AS109" s="52">
        <v>1.3718883500000001</v>
      </c>
    </row>
    <row r="110" spans="1:45" ht="14.4" x14ac:dyDescent="0.3">
      <c r="A110" s="5">
        <v>45261</v>
      </c>
      <c r="B110">
        <v>1.2289669861554851</v>
      </c>
      <c r="C110">
        <v>1.2949720670391061</v>
      </c>
      <c r="D110">
        <v>1.2063829787234039</v>
      </c>
      <c r="E110">
        <v>1.2685393258426969</v>
      </c>
      <c r="M110" s="2">
        <v>139.52600000000001</v>
      </c>
      <c r="N110" s="27">
        <v>1.3679019607843139</v>
      </c>
      <c r="O110" s="26">
        <v>1.297991071428571</v>
      </c>
      <c r="P110">
        <v>1.2505938242280279</v>
      </c>
      <c r="Q110" s="2">
        <v>155.536</v>
      </c>
      <c r="R110" s="2">
        <f t="shared" si="34"/>
        <v>1.0602317655078393</v>
      </c>
      <c r="S110" s="2">
        <v>195.613</v>
      </c>
      <c r="T110" s="2">
        <f t="shared" si="35"/>
        <v>1.31020093770931</v>
      </c>
      <c r="U110" s="2">
        <v>928.08113333333301</v>
      </c>
      <c r="V110" s="2">
        <f t="shared" si="36"/>
        <v>1.0243744636117189</v>
      </c>
      <c r="W110">
        <v>1.144514767932489</v>
      </c>
      <c r="X110" s="2">
        <v>125.072</v>
      </c>
      <c r="Y110" s="2">
        <f t="shared" si="37"/>
        <v>1.2072586872586875</v>
      </c>
      <c r="Z110">
        <v>1053.75</v>
      </c>
      <c r="AA110" s="2">
        <f t="shared" si="41"/>
        <v>0.77141288433382138</v>
      </c>
      <c r="AB110" s="2">
        <v>125.072</v>
      </c>
      <c r="AC110" s="2">
        <f t="shared" si="38"/>
        <v>1.2072586872586875</v>
      </c>
      <c r="AD110">
        <v>1.2685393258426969</v>
      </c>
      <c r="AE110" s="2">
        <v>84.221000000000004</v>
      </c>
      <c r="AF110" s="27">
        <f t="shared" si="42"/>
        <v>0.97590961761297801</v>
      </c>
      <c r="AG110" s="46">
        <v>1.031219512195122</v>
      </c>
      <c r="AH110" s="46">
        <v>1.3893360160965793</v>
      </c>
      <c r="AI110" s="46">
        <v>1.2547834843907351</v>
      </c>
      <c r="AJ110" s="46">
        <v>0.96615087040618952</v>
      </c>
      <c r="AK110" s="46">
        <v>0.92822502424830267</v>
      </c>
      <c r="AL110" s="48">
        <v>2.49668</v>
      </c>
      <c r="AM110" s="48">
        <v>1.3851262135922331</v>
      </c>
      <c r="AN110" s="48">
        <v>1.7144311717861205</v>
      </c>
      <c r="AO110" s="2">
        <v>533.73800000000006</v>
      </c>
      <c r="AP110">
        <f t="shared" si="39"/>
        <v>1.0977203922471948</v>
      </c>
      <c r="AQ110" s="27">
        <f t="shared" si="40"/>
        <v>1.2719819145390438E-2</v>
      </c>
      <c r="AR110" s="52">
        <v>285.33600000000001</v>
      </c>
      <c r="AS110" s="52">
        <v>1.385126214</v>
      </c>
    </row>
    <row r="111" spans="1:45" ht="14.4" x14ac:dyDescent="0.3">
      <c r="A111" s="5">
        <v>45292</v>
      </c>
      <c r="B111">
        <v>1.230031948881789</v>
      </c>
      <c r="C111">
        <v>1.297206703910615</v>
      </c>
      <c r="D111">
        <v>1.2063829787234039</v>
      </c>
      <c r="E111">
        <v>1.2595505617977529</v>
      </c>
      <c r="M111" s="2">
        <v>139.66</v>
      </c>
      <c r="N111" s="27">
        <v>1.3692156862745097</v>
      </c>
      <c r="O111" s="26">
        <v>1.283482142857143</v>
      </c>
      <c r="P111">
        <v>1.244655581947743</v>
      </c>
      <c r="Q111" s="2">
        <v>155.536</v>
      </c>
      <c r="R111" s="2">
        <f t="shared" si="34"/>
        <v>1.0602317655078393</v>
      </c>
      <c r="S111" s="2">
        <v>196.06399999999999</v>
      </c>
      <c r="T111" s="2">
        <f t="shared" si="35"/>
        <v>1.3132217012726053</v>
      </c>
      <c r="U111" s="2">
        <v>907.53686666666704</v>
      </c>
      <c r="V111" s="2">
        <f t="shared" si="36"/>
        <v>1.0016986205295781</v>
      </c>
      <c r="W111">
        <v>1.135021097046413</v>
      </c>
      <c r="X111" s="2">
        <v>124.964</v>
      </c>
      <c r="Y111" s="2">
        <f t="shared" si="37"/>
        <v>1.2062162162162162</v>
      </c>
      <c r="Z111">
        <v>1144.2</v>
      </c>
      <c r="AA111" s="2">
        <f t="shared" si="41"/>
        <v>0.83762811127379211</v>
      </c>
      <c r="AB111" s="2">
        <v>124.964</v>
      </c>
      <c r="AC111" s="2">
        <f t="shared" si="38"/>
        <v>1.2062162162162162</v>
      </c>
      <c r="AD111">
        <v>1.2595505617977529</v>
      </c>
      <c r="AE111" s="2">
        <v>83.376000000000005</v>
      </c>
      <c r="AF111" s="27">
        <f t="shared" si="42"/>
        <v>0.9661181923522596</v>
      </c>
      <c r="AG111" s="46">
        <v>1.0263414634146342</v>
      </c>
      <c r="AH111" s="46">
        <v>1.3531187122736417</v>
      </c>
      <c r="AI111" s="46">
        <v>1.2648539778449144</v>
      </c>
      <c r="AJ111" s="46">
        <v>0.96615087040618952</v>
      </c>
      <c r="AK111" s="46">
        <v>0.93404461687681861</v>
      </c>
      <c r="AL111" s="48">
        <v>2.4296799999999998</v>
      </c>
      <c r="AM111" s="48">
        <v>1.3839514563106796</v>
      </c>
      <c r="AN111" s="48">
        <v>1.7166382252559726</v>
      </c>
      <c r="AO111" s="2">
        <v>542.15499999999997</v>
      </c>
      <c r="AP111">
        <f t="shared" si="39"/>
        <v>1.0157699095811052</v>
      </c>
      <c r="AQ111" s="27">
        <f t="shared" si="40"/>
        <v>1.1770219114497164E-2</v>
      </c>
      <c r="AR111" s="55">
        <v>285.09399999999999</v>
      </c>
      <c r="AS111" s="55">
        <v>1.3839514559999999</v>
      </c>
    </row>
    <row r="112" spans="1:45" ht="14.4" x14ac:dyDescent="0.3">
      <c r="A112" s="5">
        <v>45323</v>
      </c>
      <c r="B112">
        <v>1.2310969116080941</v>
      </c>
      <c r="C112">
        <v>1.2949720670391061</v>
      </c>
      <c r="D112">
        <v>1.213829787234042</v>
      </c>
      <c r="E112">
        <v>1.2595505617977529</v>
      </c>
      <c r="M112" s="2">
        <v>139.53800000000001</v>
      </c>
      <c r="N112" s="27">
        <v>1.3680196078431373</v>
      </c>
      <c r="O112" s="26">
        <v>1.2823660714285721</v>
      </c>
      <c r="P112">
        <v>1.254156769596199</v>
      </c>
      <c r="Q112" s="2">
        <v>156.001</v>
      </c>
      <c r="R112" s="2">
        <f t="shared" si="34"/>
        <v>1.0634014996591685</v>
      </c>
      <c r="S112" s="2">
        <v>195.137</v>
      </c>
      <c r="T112" s="2">
        <f t="shared" si="35"/>
        <v>1.3070127260549229</v>
      </c>
      <c r="U112" s="2">
        <v>873.47059999999999</v>
      </c>
      <c r="V112" s="2">
        <f t="shared" si="36"/>
        <v>0.96409779837022136</v>
      </c>
      <c r="W112">
        <v>1.128691983122363</v>
      </c>
      <c r="X112" s="2">
        <v>126.172</v>
      </c>
      <c r="Y112" s="2">
        <f t="shared" si="37"/>
        <v>1.2178764478764479</v>
      </c>
      <c r="Z112">
        <v>1346.25</v>
      </c>
      <c r="AA112" s="2">
        <f t="shared" si="41"/>
        <v>0.98554172767203518</v>
      </c>
      <c r="AB112" s="2">
        <v>126.172</v>
      </c>
      <c r="AC112" s="2">
        <f t="shared" si="38"/>
        <v>1.2178764478764479</v>
      </c>
      <c r="AD112">
        <v>1.2595505617977529</v>
      </c>
      <c r="AE112" s="2">
        <v>80.581000000000003</v>
      </c>
      <c r="AF112" s="27">
        <f t="shared" si="42"/>
        <v>0.93373117033603714</v>
      </c>
      <c r="AG112" s="46">
        <v>1.0321951219512195</v>
      </c>
      <c r="AH112" s="46">
        <v>1.3370221327967806</v>
      </c>
      <c r="AI112" s="46">
        <v>1.2547834843907351</v>
      </c>
      <c r="AJ112" s="46">
        <v>0.97582205029013536</v>
      </c>
      <c r="AK112" s="46">
        <v>0.93016488845780809</v>
      </c>
      <c r="AL112" s="48">
        <v>2.4296799999999998</v>
      </c>
      <c r="AM112" s="48">
        <v>1.3694077669902913</v>
      </c>
      <c r="AN112" s="48">
        <v>1.7085324232081911</v>
      </c>
      <c r="AO112" s="2">
        <v>526.53399999999999</v>
      </c>
      <c r="AP112">
        <f t="shared" si="39"/>
        <v>0.97118720661065561</v>
      </c>
      <c r="AQ112" s="27">
        <f t="shared" si="40"/>
        <v>1.125361768957886E-2</v>
      </c>
      <c r="AR112" s="52">
        <v>282.09800000000001</v>
      </c>
      <c r="AS112" s="52">
        <v>1.369407767</v>
      </c>
    </row>
    <row r="113" spans="1:45" ht="14.4" x14ac:dyDescent="0.3">
      <c r="A113" s="5">
        <v>45352</v>
      </c>
      <c r="B113">
        <v>1.234291799787008</v>
      </c>
      <c r="C113">
        <v>1.293854748603352</v>
      </c>
      <c r="D113">
        <v>1.213829787234042</v>
      </c>
      <c r="E113">
        <v>1.258426966292135</v>
      </c>
      <c r="M113" s="2">
        <v>139.22</v>
      </c>
      <c r="N113" s="27">
        <v>1.3649019607843138</v>
      </c>
      <c r="O113" s="26">
        <v>1.285714285714286</v>
      </c>
      <c r="P113">
        <v>1.2707838479809981</v>
      </c>
      <c r="Q113" s="2">
        <v>155.80099999999999</v>
      </c>
      <c r="R113" s="2">
        <f t="shared" si="34"/>
        <v>1.0620381731424675</v>
      </c>
      <c r="S113" s="2">
        <v>195.68</v>
      </c>
      <c r="T113" s="2">
        <f t="shared" si="35"/>
        <v>1.3106496985934359</v>
      </c>
      <c r="U113" s="2">
        <v>883.26904999999999</v>
      </c>
      <c r="V113" s="2">
        <f t="shared" si="36"/>
        <v>0.97491288942473509</v>
      </c>
      <c r="W113">
        <v>1.1371308016877639</v>
      </c>
      <c r="X113" s="2">
        <v>126.008</v>
      </c>
      <c r="Y113" s="2">
        <f t="shared" si="37"/>
        <v>1.2162934362934363</v>
      </c>
      <c r="Z113">
        <v>1375.5</v>
      </c>
      <c r="AA113" s="2">
        <f t="shared" si="41"/>
        <v>1.0069546120058566</v>
      </c>
      <c r="AB113" s="2">
        <v>126.008</v>
      </c>
      <c r="AC113" s="2">
        <f t="shared" si="38"/>
        <v>1.2162934362934363</v>
      </c>
      <c r="AD113">
        <v>1.258426966292135</v>
      </c>
      <c r="AE113" s="2">
        <v>86.06</v>
      </c>
      <c r="AF113" s="27">
        <f t="shared" si="42"/>
        <v>0.9972190034762457</v>
      </c>
      <c r="AG113" s="46">
        <v>1.0341463414634147</v>
      </c>
      <c r="AH113" s="46">
        <v>1.3078470824949697</v>
      </c>
      <c r="AI113" s="46">
        <v>1.232628398791541</v>
      </c>
      <c r="AJ113" s="46">
        <v>0.98162475822050288</v>
      </c>
      <c r="AK113" s="46">
        <v>0.93016488845780809</v>
      </c>
      <c r="AL113" s="48">
        <v>2.4127700000000001</v>
      </c>
      <c r="AM113" s="48">
        <v>1.3666019417475728</v>
      </c>
      <c r="AN113" s="48">
        <v>1.8278498293515357</v>
      </c>
      <c r="AO113" s="2">
        <v>485.7</v>
      </c>
      <c r="AP113">
        <f t="shared" si="39"/>
        <v>0.92244755324442484</v>
      </c>
      <c r="AQ113" s="27">
        <f t="shared" si="40"/>
        <v>1.0688847662160196E-2</v>
      </c>
      <c r="AR113" s="52">
        <v>281.52</v>
      </c>
      <c r="AS113" s="52">
        <v>1.366601942</v>
      </c>
    </row>
    <row r="114" spans="1:45" ht="14.4" x14ac:dyDescent="0.3">
      <c r="A114" s="5">
        <v>45383</v>
      </c>
      <c r="B114">
        <v>1.2332268370607029</v>
      </c>
      <c r="C114">
        <v>1.292737430167598</v>
      </c>
      <c r="D114">
        <v>1.214893617021277</v>
      </c>
      <c r="E114">
        <v>1.2662921348314611</v>
      </c>
      <c r="M114" s="2">
        <v>140.59399999999999</v>
      </c>
      <c r="N114" s="27">
        <v>1.3783725490196077</v>
      </c>
      <c r="O114" s="26">
        <v>1.285714285714286</v>
      </c>
      <c r="P114">
        <v>1.279097387173397</v>
      </c>
      <c r="Q114" s="2">
        <v>155.80099999999999</v>
      </c>
      <c r="R114" s="2">
        <f t="shared" si="34"/>
        <v>1.0620381731424675</v>
      </c>
      <c r="S114" s="2">
        <v>195.613</v>
      </c>
      <c r="T114" s="2">
        <f t="shared" si="35"/>
        <v>1.31020093770931</v>
      </c>
      <c r="U114" s="2">
        <v>882.38739999999996</v>
      </c>
      <c r="V114" s="2">
        <f t="shared" si="36"/>
        <v>0.97393976357031808</v>
      </c>
      <c r="W114">
        <v>1.138185654008439</v>
      </c>
      <c r="X114" s="2">
        <v>125.58499999999999</v>
      </c>
      <c r="Y114" s="2">
        <f t="shared" si="37"/>
        <v>1.2122104247104246</v>
      </c>
      <c r="Z114">
        <v>1293.4000000000001</v>
      </c>
      <c r="AA114" s="2">
        <f t="shared" si="41"/>
        <v>0.94685212298682286</v>
      </c>
      <c r="AB114" s="2">
        <v>125.58499999999999</v>
      </c>
      <c r="AC114" s="2">
        <f t="shared" si="38"/>
        <v>1.2122104247104246</v>
      </c>
      <c r="AD114">
        <v>1.2662921348314611</v>
      </c>
      <c r="AE114" s="2">
        <v>87.802000000000007</v>
      </c>
      <c r="AF114" s="27">
        <f t="shared" si="42"/>
        <v>1.017404403244496</v>
      </c>
      <c r="AG114" s="46">
        <v>1.031219512195122</v>
      </c>
      <c r="AH114" s="46">
        <v>1.3672032193158954</v>
      </c>
      <c r="AI114" s="46">
        <v>1.2275931520644512</v>
      </c>
      <c r="AJ114" s="46">
        <v>0.98162475822050288</v>
      </c>
      <c r="AK114" s="46">
        <v>0.92725509214354995</v>
      </c>
      <c r="AL114" s="48">
        <v>2.4127700000000001</v>
      </c>
      <c r="AM114" s="48">
        <v>1.383495145631068</v>
      </c>
      <c r="AN114" s="48">
        <v>2.1502844141069395</v>
      </c>
      <c r="AO114" s="2">
        <v>476.41699999999997</v>
      </c>
      <c r="AP114">
        <f t="shared" si="39"/>
        <v>0.98088737904056</v>
      </c>
      <c r="AQ114" s="27">
        <f t="shared" si="40"/>
        <v>1.1366018297109618E-2</v>
      </c>
      <c r="AR114" s="52">
        <v>285</v>
      </c>
      <c r="AS114" s="52">
        <v>1.383495146</v>
      </c>
    </row>
    <row r="115" spans="1:45" ht="14.4" x14ac:dyDescent="0.3">
      <c r="A115" s="5">
        <v>45413</v>
      </c>
      <c r="B115">
        <v>1.2332268370607029</v>
      </c>
      <c r="C115">
        <v>1.2949720670391061</v>
      </c>
      <c r="D115">
        <v>1.219148936170213</v>
      </c>
      <c r="E115">
        <v>1.269662921348315</v>
      </c>
      <c r="M115" s="2">
        <v>139.602</v>
      </c>
      <c r="N115" s="27">
        <v>1.3686470588235295</v>
      </c>
      <c r="O115" s="26">
        <v>1.310267857142857</v>
      </c>
      <c r="P115">
        <v>1.271971496437055</v>
      </c>
      <c r="Q115" s="2">
        <v>155.80099999999999</v>
      </c>
      <c r="R115" s="2">
        <f t="shared" si="34"/>
        <v>1.0620381731424675</v>
      </c>
      <c r="S115" s="2">
        <v>195.79900000000001</v>
      </c>
      <c r="T115" s="2">
        <f t="shared" si="35"/>
        <v>1.3114467515070327</v>
      </c>
      <c r="U115" s="2">
        <v>881.31695000000002</v>
      </c>
      <c r="V115" s="2">
        <f t="shared" si="36"/>
        <v>0.97275824871650918</v>
      </c>
      <c r="W115">
        <v>1.1360759493670891</v>
      </c>
      <c r="X115" s="2">
        <v>126.857</v>
      </c>
      <c r="Y115" s="2">
        <f t="shared" si="37"/>
        <v>1.2244884169884171</v>
      </c>
      <c r="Z115">
        <v>1239.5</v>
      </c>
      <c r="AA115" s="2">
        <f t="shared" si="41"/>
        <v>0.90739385065885803</v>
      </c>
      <c r="AB115" s="2">
        <v>126.857</v>
      </c>
      <c r="AC115" s="2">
        <f t="shared" si="38"/>
        <v>1.2244884169884171</v>
      </c>
      <c r="AD115">
        <v>1.269662921348315</v>
      </c>
      <c r="AE115" s="2">
        <v>77.820999999999998</v>
      </c>
      <c r="AF115" s="27">
        <f t="shared" si="42"/>
        <v>0.90174971031286211</v>
      </c>
      <c r="AG115" s="46">
        <v>1.0292682926829269</v>
      </c>
      <c r="AH115" s="46">
        <v>1.3158953722334004</v>
      </c>
      <c r="AI115" s="46">
        <v>1.214501510574018</v>
      </c>
      <c r="AJ115" s="46">
        <v>0.99226305609284327</v>
      </c>
      <c r="AK115" s="46">
        <v>0.92531522793404475</v>
      </c>
      <c r="AL115" s="48">
        <v>2.37283</v>
      </c>
      <c r="AM115" s="48">
        <v>1.3536990291262136</v>
      </c>
      <c r="AN115" s="48">
        <v>1.8725028441410692</v>
      </c>
      <c r="AO115" s="2">
        <v>474.86799999999999</v>
      </c>
      <c r="AP115">
        <f t="shared" si="39"/>
        <v>0.99674864666877971</v>
      </c>
      <c r="AQ115" s="27">
        <f t="shared" si="40"/>
        <v>1.1549810506011353E-2</v>
      </c>
      <c r="AR115" s="52">
        <v>278.86200000000002</v>
      </c>
      <c r="AS115" s="52">
        <v>1.3536990289999999</v>
      </c>
    </row>
    <row r="116" spans="1:45" ht="14.4" x14ac:dyDescent="0.3">
      <c r="A116" s="5">
        <v>45444</v>
      </c>
      <c r="B116">
        <v>1.2332268370607029</v>
      </c>
      <c r="C116">
        <v>1.2949720670391061</v>
      </c>
      <c r="D116">
        <v>1.213829787234042</v>
      </c>
      <c r="E116">
        <v>1.269662921348315</v>
      </c>
      <c r="M116" s="2">
        <v>135.26499999999999</v>
      </c>
      <c r="N116" s="27">
        <v>1.326127450980392</v>
      </c>
      <c r="O116" s="26">
        <v>1.330357142857143</v>
      </c>
      <c r="P116">
        <v>1.263657957244656</v>
      </c>
      <c r="Q116" s="2">
        <v>155.80099999999999</v>
      </c>
      <c r="R116" s="2">
        <f t="shared" si="34"/>
        <v>1.0620381731424675</v>
      </c>
      <c r="S116" s="2">
        <v>195.81700000000001</v>
      </c>
      <c r="T116" s="2">
        <f t="shared" si="35"/>
        <v>1.3115673141326187</v>
      </c>
      <c r="U116" s="2">
        <v>904.88901250000004</v>
      </c>
      <c r="V116" s="2">
        <f t="shared" si="36"/>
        <v>0.9987760374769955</v>
      </c>
      <c r="W116">
        <v>1.1339662447257379</v>
      </c>
      <c r="X116" s="2">
        <v>126.589</v>
      </c>
      <c r="Y116" s="2">
        <f t="shared" si="37"/>
        <v>1.2219015444015444</v>
      </c>
      <c r="Z116">
        <v>1215.5</v>
      </c>
      <c r="AA116" s="2">
        <f t="shared" si="41"/>
        <v>0.88982430453879946</v>
      </c>
      <c r="AB116" s="2">
        <v>126.589</v>
      </c>
      <c r="AC116" s="2">
        <f t="shared" si="38"/>
        <v>1.2219015444015444</v>
      </c>
      <c r="AD116">
        <v>1.269662921348315</v>
      </c>
      <c r="AE116" s="2">
        <v>73.888000000000005</v>
      </c>
      <c r="AF116" s="27">
        <f t="shared" si="42"/>
        <v>0.85617612977983781</v>
      </c>
      <c r="AG116" s="46">
        <v>1.0263414634146342</v>
      </c>
      <c r="AH116" s="46">
        <v>1.3038229376257544</v>
      </c>
      <c r="AI116" s="46">
        <v>1.1701913393756294</v>
      </c>
      <c r="AJ116" s="46">
        <v>1.004835589941973</v>
      </c>
      <c r="AK116" s="46">
        <v>0.93404461687681861</v>
      </c>
      <c r="AL116" s="48">
        <v>2.3741099999999999</v>
      </c>
      <c r="AM116" s="48">
        <v>1.3324320388349515</v>
      </c>
      <c r="AN116" s="48">
        <v>1.7864903299203638</v>
      </c>
      <c r="AO116" s="2">
        <v>457.471</v>
      </c>
      <c r="AP116">
        <f t="shared" si="39"/>
        <v>0.96336455604504834</v>
      </c>
      <c r="AQ116" s="27">
        <f t="shared" si="40"/>
        <v>1.1162972839455949E-2</v>
      </c>
      <c r="AR116" s="52">
        <v>274.48099999999999</v>
      </c>
      <c r="AS116" s="52">
        <v>1.332432039</v>
      </c>
    </row>
    <row r="117" spans="1:45" ht="14.4" x14ac:dyDescent="0.3">
      <c r="A117" s="5">
        <v>45474</v>
      </c>
      <c r="B117">
        <v>1.236421725239617</v>
      </c>
      <c r="C117">
        <v>1.2960893854748601</v>
      </c>
      <c r="D117">
        <v>1.219148936170213</v>
      </c>
      <c r="E117">
        <v>1.267415730337079</v>
      </c>
      <c r="M117" s="2">
        <v>136.65100000000001</v>
      </c>
      <c r="N117" s="27">
        <v>1.3397156862745099</v>
      </c>
      <c r="O117" s="26">
        <v>1.340401785714286</v>
      </c>
      <c r="P117">
        <v>1.258907363420428</v>
      </c>
      <c r="Q117" s="2">
        <v>155.80099999999999</v>
      </c>
      <c r="R117" s="2">
        <f t="shared" si="34"/>
        <v>1.0620381731424675</v>
      </c>
      <c r="S117" s="2">
        <v>195.80799999999999</v>
      </c>
      <c r="T117" s="2">
        <f t="shared" si="35"/>
        <v>1.3115070328198257</v>
      </c>
      <c r="U117" s="2">
        <v>875.96053333333305</v>
      </c>
      <c r="V117" s="2">
        <f t="shared" si="36"/>
        <v>0.96684607546707502</v>
      </c>
      <c r="W117">
        <v>1.1466244725738399</v>
      </c>
      <c r="X117" s="2">
        <v>126.55500000000001</v>
      </c>
      <c r="Y117" s="2">
        <f t="shared" si="37"/>
        <v>1.2215733590733593</v>
      </c>
      <c r="Z117">
        <v>1249</v>
      </c>
      <c r="AA117" s="2">
        <f t="shared" si="41"/>
        <v>0.91434846266471448</v>
      </c>
      <c r="AB117" s="2">
        <v>126.55500000000001</v>
      </c>
      <c r="AC117" s="2">
        <f t="shared" si="38"/>
        <v>1.2215733590733593</v>
      </c>
      <c r="AD117">
        <v>1.267415730337079</v>
      </c>
      <c r="AE117" s="2">
        <v>80.638999999999996</v>
      </c>
      <c r="AF117" s="27">
        <f t="shared" si="42"/>
        <v>0.93440324449594436</v>
      </c>
      <c r="AG117" s="46">
        <v>1.0214634146341464</v>
      </c>
      <c r="AH117" s="46">
        <v>1.2394366197183098</v>
      </c>
      <c r="AI117" s="46">
        <v>1.1762336354481369</v>
      </c>
      <c r="AJ117" s="46">
        <v>0.99516441005802703</v>
      </c>
      <c r="AK117" s="46">
        <v>0.9321047526673133</v>
      </c>
      <c r="AL117" s="48">
        <v>2.3649800000000001</v>
      </c>
      <c r="AM117" s="48">
        <v>1.3032087378640778</v>
      </c>
      <c r="AN117" s="48">
        <v>1.5501877133105801</v>
      </c>
      <c r="AO117" s="2">
        <v>459.48500000000001</v>
      </c>
      <c r="AP117">
        <f t="shared" si="39"/>
        <v>1.0044024648556957</v>
      </c>
      <c r="AQ117" s="27">
        <f t="shared" si="40"/>
        <v>1.1638499013391607E-2</v>
      </c>
      <c r="AR117" s="52">
        <v>268.46100000000001</v>
      </c>
      <c r="AS117" s="52">
        <v>1.3032087379999999</v>
      </c>
    </row>
    <row r="118" spans="1:45" ht="14.4" x14ac:dyDescent="0.3">
      <c r="A118" s="5">
        <v>45505</v>
      </c>
      <c r="B118">
        <v>1.237486687965921</v>
      </c>
      <c r="C118">
        <v>1.2960893854748601</v>
      </c>
      <c r="D118">
        <v>1.2234042553191491</v>
      </c>
      <c r="E118">
        <v>1.2685393258426969</v>
      </c>
      <c r="M118" s="2">
        <v>133.67099999999999</v>
      </c>
      <c r="N118" s="27">
        <v>1.3105</v>
      </c>
      <c r="O118" s="26">
        <v>1.332589285714286</v>
      </c>
      <c r="P118">
        <v>1.261282660332542</v>
      </c>
      <c r="Q118" s="2">
        <v>155.80099999999999</v>
      </c>
      <c r="R118" s="2">
        <f t="shared" si="34"/>
        <v>1.0620381731424675</v>
      </c>
      <c r="S118" s="2">
        <v>195.60900000000001</v>
      </c>
      <c r="T118" s="2">
        <f t="shared" si="35"/>
        <v>1.3101741460147354</v>
      </c>
      <c r="U118" s="2">
        <v>877.45320000000004</v>
      </c>
      <c r="V118" s="2">
        <f t="shared" si="36"/>
        <v>0.96849361420167501</v>
      </c>
      <c r="W118">
        <v>1.144514767932489</v>
      </c>
      <c r="X118" s="2">
        <v>128.93199999999999</v>
      </c>
      <c r="Y118" s="2">
        <f t="shared" si="37"/>
        <v>1.2445173745173745</v>
      </c>
      <c r="Z118">
        <v>1290.5</v>
      </c>
      <c r="AA118" s="2">
        <f t="shared" si="41"/>
        <v>0.94472913616398246</v>
      </c>
      <c r="AB118" s="2">
        <v>128.93199999999999</v>
      </c>
      <c r="AC118" s="2">
        <f t="shared" si="38"/>
        <v>1.2445173745173745</v>
      </c>
      <c r="AD118">
        <v>1.2685393258426969</v>
      </c>
      <c r="AE118" s="2">
        <v>82.944999999999993</v>
      </c>
      <c r="AF118" s="27">
        <f t="shared" si="42"/>
        <v>0.96112398609501737</v>
      </c>
      <c r="AG118" s="46">
        <v>1.0224390243902439</v>
      </c>
      <c r="AH118" s="46">
        <v>1.2032193158953721</v>
      </c>
      <c r="AI118" s="46">
        <v>1.2235649546827796</v>
      </c>
      <c r="AJ118" s="46">
        <v>0.99129593810444872</v>
      </c>
      <c r="AK118" s="46">
        <v>0.93598448108632404</v>
      </c>
      <c r="AL118" s="48">
        <v>2.3649800000000001</v>
      </c>
      <c r="AM118" s="48">
        <v>1.292995145631068</v>
      </c>
      <c r="AN118" s="48">
        <v>1.5291240045506256</v>
      </c>
      <c r="AO118" s="2">
        <v>457.12900000000002</v>
      </c>
      <c r="AP118">
        <f t="shared" si="39"/>
        <v>0.99487252032166451</v>
      </c>
      <c r="AQ118" s="27">
        <f t="shared" si="40"/>
        <v>1.152807091913864E-2</v>
      </c>
      <c r="AR118" s="52">
        <v>266.35700000000003</v>
      </c>
      <c r="AS118" s="52">
        <v>1.292995146</v>
      </c>
    </row>
    <row r="119" spans="1:45" ht="14.4" x14ac:dyDescent="0.3">
      <c r="A119" s="5">
        <v>45536</v>
      </c>
      <c r="B119">
        <v>1.2353567625133119</v>
      </c>
      <c r="C119">
        <v>1.293854748603352</v>
      </c>
      <c r="D119">
        <v>1.2244680851063829</v>
      </c>
      <c r="E119">
        <v>1.267415730337079</v>
      </c>
      <c r="M119" s="2">
        <v>132.60400000000001</v>
      </c>
      <c r="N119" s="27">
        <v>1.3000392156862746</v>
      </c>
      <c r="O119" s="26">
        <v>1.330357142857143</v>
      </c>
      <c r="P119">
        <v>1.258907363420428</v>
      </c>
      <c r="Q119" s="2">
        <v>155.80099999999999</v>
      </c>
      <c r="R119" s="2">
        <f t="shared" si="34"/>
        <v>1.0620381731424675</v>
      </c>
      <c r="S119" s="2">
        <v>195.43899999999999</v>
      </c>
      <c r="T119" s="2">
        <f t="shared" si="35"/>
        <v>1.3090354989953112</v>
      </c>
      <c r="U119" s="2">
        <v>863.62012500000003</v>
      </c>
      <c r="V119" s="2">
        <f t="shared" si="36"/>
        <v>0.95322528444656918</v>
      </c>
      <c r="W119">
        <v>1.1434599156118139</v>
      </c>
      <c r="X119" s="2">
        <v>129.47800000000001</v>
      </c>
      <c r="Y119" s="2">
        <f t="shared" si="37"/>
        <v>1.249787644787645</v>
      </c>
      <c r="Z119">
        <v>1295.5999999999999</v>
      </c>
      <c r="AA119" s="2">
        <f t="shared" si="41"/>
        <v>0.94846266471449481</v>
      </c>
      <c r="AB119" s="2">
        <v>129.47800000000001</v>
      </c>
      <c r="AC119" s="2">
        <f t="shared" si="38"/>
        <v>1.249787644787645</v>
      </c>
      <c r="AD119">
        <v>1.267415730337079</v>
      </c>
      <c r="AE119" s="2">
        <v>79.332999999999998</v>
      </c>
      <c r="AF119" s="27">
        <f t="shared" si="42"/>
        <v>0.9192699884125145</v>
      </c>
      <c r="AG119" s="46">
        <v>1.0302439024390244</v>
      </c>
      <c r="AH119" s="46">
        <v>1.2565392354124749</v>
      </c>
      <c r="AI119" s="46">
        <v>1.2930513595166164</v>
      </c>
      <c r="AJ119" s="46">
        <v>0.99709864603481613</v>
      </c>
      <c r="AK119" s="46">
        <v>0.93016488845780809</v>
      </c>
      <c r="AL119" s="48">
        <v>2.3649800000000001</v>
      </c>
      <c r="AM119" s="48">
        <v>1.309131067961165</v>
      </c>
      <c r="AN119" s="48">
        <v>1.5210693970420932</v>
      </c>
      <c r="AO119" s="2">
        <v>453.32499999999999</v>
      </c>
      <c r="AP119">
        <f t="shared" si="39"/>
        <v>0.99167849775446315</v>
      </c>
      <c r="AQ119" s="27">
        <f t="shared" si="40"/>
        <v>1.1491060228904556E-2</v>
      </c>
      <c r="AR119" s="52">
        <v>269.68099999999998</v>
      </c>
      <c r="AS119" s="52">
        <v>1.3091310679999999</v>
      </c>
    </row>
    <row r="120" spans="1:45" ht="14.4" x14ac:dyDescent="0.3">
      <c r="A120" s="5">
        <v>45566</v>
      </c>
      <c r="B120">
        <v>1.2332268370607029</v>
      </c>
      <c r="C120">
        <v>1.292737430167598</v>
      </c>
      <c r="D120">
        <v>1.222340425531915</v>
      </c>
      <c r="E120">
        <v>1.2651685393258429</v>
      </c>
      <c r="M120" s="2">
        <v>132.83199999999999</v>
      </c>
      <c r="N120" s="27">
        <v>1.3022745098039215</v>
      </c>
      <c r="O120" s="26">
        <v>1.334821428571429</v>
      </c>
      <c r="P120">
        <v>1.247030878859857</v>
      </c>
      <c r="Q120" s="2">
        <v>155.80099999999999</v>
      </c>
      <c r="R120" s="2">
        <f t="shared" si="34"/>
        <v>1.0620381731424675</v>
      </c>
      <c r="S120" s="2">
        <v>195.8</v>
      </c>
      <c r="T120" s="2">
        <f t="shared" si="35"/>
        <v>1.3114534494306764</v>
      </c>
      <c r="U120" s="2">
        <v>879.46536000000003</v>
      </c>
      <c r="V120" s="2">
        <f t="shared" si="36"/>
        <v>0.97071454645282185</v>
      </c>
      <c r="W120">
        <v>1.1434599156118139</v>
      </c>
      <c r="X120" s="2">
        <v>129.863</v>
      </c>
      <c r="Y120" s="2">
        <f t="shared" si="37"/>
        <v>1.2535038610038611</v>
      </c>
      <c r="Z120">
        <v>1238</v>
      </c>
      <c r="AA120" s="2">
        <f t="shared" si="41"/>
        <v>0.90629575402635432</v>
      </c>
      <c r="AB120" s="2">
        <v>129.863</v>
      </c>
      <c r="AC120" s="2">
        <f t="shared" si="38"/>
        <v>1.2535038610038611</v>
      </c>
      <c r="AD120">
        <v>1.2651685393258429</v>
      </c>
      <c r="AE120" s="2">
        <v>80.375</v>
      </c>
      <c r="AF120" s="27">
        <f t="shared" si="42"/>
        <v>0.9313441483198146</v>
      </c>
      <c r="AG120" s="46">
        <v>1.0419512195121952</v>
      </c>
      <c r="AH120" s="46">
        <v>1.3239436619718308</v>
      </c>
      <c r="AI120" s="46">
        <v>1.3172205438066467</v>
      </c>
      <c r="AJ120" s="46">
        <v>1.0125725338491296</v>
      </c>
      <c r="AK120" s="46">
        <v>0.93404461687681861</v>
      </c>
      <c r="AL120" s="48">
        <v>2.3564699999999998</v>
      </c>
      <c r="AM120" s="48">
        <v>1.3093300970873785</v>
      </c>
      <c r="AN120" s="48">
        <v>1.5162969283276448</v>
      </c>
      <c r="AO120" s="2">
        <v>462.25</v>
      </c>
      <c r="AP120">
        <f t="shared" si="39"/>
        <v>1.0196878619092262</v>
      </c>
      <c r="AQ120" s="27">
        <f t="shared" si="40"/>
        <v>1.1815618330350247E-2</v>
      </c>
      <c r="AR120" s="52">
        <v>269.72199999999998</v>
      </c>
      <c r="AS120" s="52">
        <v>1.3093300969999999</v>
      </c>
    </row>
    <row r="121" spans="1:45" ht="14.4" x14ac:dyDescent="0.3">
      <c r="A121" s="5">
        <v>45597</v>
      </c>
      <c r="B121">
        <v>1.230031948881789</v>
      </c>
      <c r="C121">
        <v>1.2949720670391061</v>
      </c>
      <c r="D121">
        <v>1.2234042553191491</v>
      </c>
      <c r="E121">
        <v>1.2573033707865171</v>
      </c>
      <c r="M121" s="2">
        <v>132.91900000000001</v>
      </c>
      <c r="N121" s="27">
        <v>1.3031274509803923</v>
      </c>
      <c r="O121" s="26">
        <v>1.3515625</v>
      </c>
      <c r="P121">
        <v>1.247030878859857</v>
      </c>
      <c r="Q121" s="2">
        <v>156.66</v>
      </c>
      <c r="R121" s="2">
        <f t="shared" si="34"/>
        <v>1.0678936605316973</v>
      </c>
      <c r="S121" s="2">
        <v>195.91200000000001</v>
      </c>
      <c r="T121" s="2">
        <f t="shared" si="35"/>
        <v>1.3122036168787676</v>
      </c>
      <c r="U121" s="2">
        <v>874.03781428571403</v>
      </c>
      <c r="V121" s="2">
        <f t="shared" si="36"/>
        <v>0.96472386414056444</v>
      </c>
      <c r="W121">
        <v>1.139240506329114</v>
      </c>
      <c r="X121" s="2">
        <v>128.69399999999999</v>
      </c>
      <c r="Y121" s="2">
        <f t="shared" si="37"/>
        <v>1.2422200772200771</v>
      </c>
      <c r="Z121">
        <v>1155.5</v>
      </c>
      <c r="AA121" s="2">
        <f t="shared" si="41"/>
        <v>0.84590043923865299</v>
      </c>
      <c r="AB121" s="2">
        <v>128.69399999999999</v>
      </c>
      <c r="AC121" s="2">
        <f t="shared" si="38"/>
        <v>1.2422200772200771</v>
      </c>
      <c r="AD121">
        <v>1.2573033707865171</v>
      </c>
      <c r="AE121" s="2">
        <v>83.998000000000005</v>
      </c>
      <c r="AF121" s="27">
        <f t="shared" si="42"/>
        <v>0.97332560834298965</v>
      </c>
      <c r="AG121" s="46">
        <v>1.055609756097561</v>
      </c>
      <c r="AH121" s="46">
        <v>1.3098591549295773</v>
      </c>
      <c r="AI121" s="46">
        <v>1.3031218529707957</v>
      </c>
      <c r="AJ121" s="46">
        <v>1.0309477756286265</v>
      </c>
      <c r="AK121" s="46">
        <v>0.95344325897187199</v>
      </c>
      <c r="AL121" s="48">
        <v>2.3564699999999998</v>
      </c>
      <c r="AM121" s="48">
        <v>1.3086553398058254</v>
      </c>
      <c r="AN121" s="48">
        <v>1.6133503981797497</v>
      </c>
      <c r="AO121" s="2">
        <v>463.74200000000002</v>
      </c>
      <c r="AP121">
        <f t="shared" si="39"/>
        <v>1.0032276906435911</v>
      </c>
      <c r="AQ121" s="27">
        <f t="shared" si="40"/>
        <v>1.1624886334224694E-2</v>
      </c>
      <c r="AR121" s="52">
        <v>269.58300000000003</v>
      </c>
      <c r="AS121" s="52">
        <v>1.3086553400000001</v>
      </c>
    </row>
    <row r="122" spans="1:45" ht="14.4" x14ac:dyDescent="0.3">
      <c r="A122" s="5">
        <v>45627</v>
      </c>
      <c r="B122">
        <v>1.222577209797657</v>
      </c>
      <c r="C122">
        <v>1.2960893854748601</v>
      </c>
      <c r="D122">
        <v>1.2212765957446809</v>
      </c>
      <c r="E122">
        <v>1.256179775280899</v>
      </c>
      <c r="M122" s="2">
        <v>133.32599999999999</v>
      </c>
      <c r="N122" s="27">
        <v>1.3071176470588235</v>
      </c>
      <c r="O122" s="26">
        <v>1.361607142857143</v>
      </c>
      <c r="P122">
        <v>1.239904988123516</v>
      </c>
      <c r="Q122" s="2">
        <v>156.66</v>
      </c>
      <c r="R122" s="2">
        <f t="shared" si="34"/>
        <v>1.0678936605316973</v>
      </c>
      <c r="S122" s="2">
        <v>195.24199999999999</v>
      </c>
      <c r="T122" s="2">
        <f t="shared" si="35"/>
        <v>1.3077160080375083</v>
      </c>
      <c r="U122" s="2">
        <v>867.17460000000005</v>
      </c>
      <c r="V122" s="2">
        <f t="shared" si="36"/>
        <v>0.95714855504304031</v>
      </c>
      <c r="W122">
        <v>1.140295358649789</v>
      </c>
      <c r="X122" s="2">
        <v>128.96</v>
      </c>
      <c r="Y122" s="2">
        <f t="shared" si="37"/>
        <v>1.2447876447876449</v>
      </c>
      <c r="Z122">
        <v>1139</v>
      </c>
      <c r="AA122" s="2">
        <f t="shared" si="41"/>
        <v>0.83382137628111275</v>
      </c>
      <c r="AB122" s="2">
        <v>128.96</v>
      </c>
      <c r="AC122" s="2">
        <f t="shared" si="38"/>
        <v>1.2447876447876449</v>
      </c>
      <c r="AD122">
        <v>1.256179775280899</v>
      </c>
      <c r="AE122" s="2">
        <v>79.228999999999999</v>
      </c>
      <c r="AF122" s="27">
        <f t="shared" si="42"/>
        <v>0.91806488991888757</v>
      </c>
      <c r="AG122" s="46">
        <v>1.0614634146341464</v>
      </c>
      <c r="AH122" s="46">
        <v>1.3239436619718308</v>
      </c>
      <c r="AI122" s="46">
        <v>1.2920443101711985</v>
      </c>
      <c r="AJ122" s="46">
        <v>1.0386847195357833</v>
      </c>
      <c r="AK122" s="46">
        <v>0.9544131910766247</v>
      </c>
      <c r="AL122" s="48">
        <v>2.2913700000000001</v>
      </c>
      <c r="AM122" s="48">
        <v>1.3011310679611652</v>
      </c>
      <c r="AN122" s="48">
        <v>1.6847383390216155</v>
      </c>
      <c r="AO122" s="2">
        <v>451.71600000000001</v>
      </c>
      <c r="AP122">
        <f t="shared" si="39"/>
        <v>0.97406747717480835</v>
      </c>
      <c r="AQ122" s="27">
        <f t="shared" si="40"/>
        <v>1.1286992783022113E-2</v>
      </c>
      <c r="AR122" s="52">
        <v>268.03300000000002</v>
      </c>
      <c r="AS122" s="52">
        <v>1.3011310679999999</v>
      </c>
    </row>
    <row r="123" spans="1:45" ht="14.4" x14ac:dyDescent="0.3">
      <c r="A123" s="5">
        <v>45658</v>
      </c>
      <c r="B123">
        <v>1.222577209797657</v>
      </c>
      <c r="C123">
        <v>1.299441340782123</v>
      </c>
      <c r="D123">
        <v>1.2276595744680849</v>
      </c>
      <c r="E123">
        <v>1.256179775280899</v>
      </c>
      <c r="M123" s="2">
        <v>131.66900000000001</v>
      </c>
      <c r="N123" s="27">
        <v>1.290872549019608</v>
      </c>
      <c r="O123" s="26">
        <v>1.379464285714286</v>
      </c>
      <c r="P123">
        <v>1.245843230403801</v>
      </c>
      <c r="Q123" s="2">
        <v>159.34299999999999</v>
      </c>
      <c r="R123" s="2">
        <f t="shared" si="34"/>
        <v>1.086182685753238</v>
      </c>
      <c r="S123" s="2">
        <v>194.86199999999999</v>
      </c>
      <c r="T123" s="2">
        <f t="shared" si="35"/>
        <v>1.3051707970529134</v>
      </c>
      <c r="U123" s="2">
        <v>883.83921666666697</v>
      </c>
      <c r="V123" s="2">
        <f t="shared" si="36"/>
        <v>0.97554221390118312</v>
      </c>
      <c r="W123">
        <v>1.1371308016877639</v>
      </c>
      <c r="X123" s="2">
        <v>128.69800000000001</v>
      </c>
      <c r="Y123" s="2">
        <f t="shared" si="37"/>
        <v>1.2422586872586874</v>
      </c>
      <c r="Z123">
        <v>1201</v>
      </c>
      <c r="AA123" s="2">
        <f t="shared" si="41"/>
        <v>0.87920937042459735</v>
      </c>
      <c r="AB123" s="2">
        <v>128.69800000000001</v>
      </c>
      <c r="AC123" s="2">
        <f t="shared" si="38"/>
        <v>1.2422586872586874</v>
      </c>
      <c r="AD123">
        <v>1.256179775280899</v>
      </c>
      <c r="AE123" s="2">
        <v>81.328000000000003</v>
      </c>
      <c r="AF123" s="27">
        <f t="shared" si="42"/>
        <v>0.9423870220162226</v>
      </c>
      <c r="AG123" s="46">
        <v>1.071219512195122</v>
      </c>
      <c r="AH123" s="46">
        <v>1.352112676056338</v>
      </c>
      <c r="AI123" s="46">
        <v>1.2920443101711985</v>
      </c>
      <c r="AJ123" s="46">
        <v>1.0425531914893615</v>
      </c>
      <c r="AK123" s="46">
        <v>0.95732298739088273</v>
      </c>
      <c r="AL123" s="48">
        <v>2.26098</v>
      </c>
      <c r="AM123" s="48">
        <v>1.2891504854368931</v>
      </c>
      <c r="AN123" s="48">
        <v>1.615022753128555</v>
      </c>
      <c r="AO123" s="2">
        <v>465.87400000000002</v>
      </c>
      <c r="AP123">
        <f t="shared" si="39"/>
        <v>1.0313427020517316</v>
      </c>
      <c r="AQ123" s="27">
        <f t="shared" si="40"/>
        <v>1.1950668621688663E-2</v>
      </c>
      <c r="AR123" s="55">
        <v>265.565</v>
      </c>
      <c r="AS123" s="55">
        <v>1.289150485</v>
      </c>
    </row>
    <row r="124" spans="1:45" ht="14.4" x14ac:dyDescent="0.3">
      <c r="A124" s="5">
        <v>45689</v>
      </c>
      <c r="B124">
        <v>1.2236421725239619</v>
      </c>
      <c r="C124">
        <v>1.3005586592178771</v>
      </c>
      <c r="D124">
        <v>1.235106382978723</v>
      </c>
      <c r="E124">
        <v>1.256179775280899</v>
      </c>
      <c r="M124" s="2">
        <v>133.15799999999999</v>
      </c>
      <c r="N124" s="27">
        <v>1.3054705882352939</v>
      </c>
      <c r="O124" s="26">
        <v>1.3917410714285721</v>
      </c>
      <c r="P124">
        <v>1.251781472684085</v>
      </c>
      <c r="Q124" s="2">
        <v>159.34299999999999</v>
      </c>
      <c r="R124" s="2">
        <f t="shared" si="34"/>
        <v>1.086182685753238</v>
      </c>
      <c r="S124" s="2">
        <v>194.88300000000001</v>
      </c>
      <c r="T124" s="2">
        <f t="shared" si="35"/>
        <v>1.3053114534494306</v>
      </c>
      <c r="U124" s="2">
        <v>909.48041428571401</v>
      </c>
      <c r="V124" s="2">
        <f t="shared" si="36"/>
        <v>1.003843821502056</v>
      </c>
      <c r="W124">
        <v>1.135021097046413</v>
      </c>
      <c r="X124" s="2">
        <v>129.57400000000001</v>
      </c>
      <c r="Y124" s="2">
        <f t="shared" si="37"/>
        <v>1.2507142857142859</v>
      </c>
      <c r="Z124">
        <v>1332.25</v>
      </c>
      <c r="AA124" s="2">
        <f t="shared" si="41"/>
        <v>0.9752928257686676</v>
      </c>
      <c r="AB124" s="2">
        <v>129.57400000000001</v>
      </c>
      <c r="AC124" s="2">
        <f t="shared" si="38"/>
        <v>1.2507142857142859</v>
      </c>
      <c r="AD124">
        <v>1.256179775280899</v>
      </c>
      <c r="AE124" s="2">
        <v>75.177000000000007</v>
      </c>
      <c r="AF124" s="27">
        <f t="shared" si="42"/>
        <v>0.87111239860950185</v>
      </c>
      <c r="AG124" s="46">
        <v>1.0897560975609757</v>
      </c>
      <c r="AH124" s="46">
        <v>1.3511066398390343</v>
      </c>
      <c r="AI124" s="46">
        <v>1.2849949647532728</v>
      </c>
      <c r="AJ124" s="46">
        <v>1.0696324951644098</v>
      </c>
      <c r="AK124" s="46">
        <v>0.97478176527643068</v>
      </c>
      <c r="AL124" s="48">
        <v>2.2115199999999997</v>
      </c>
      <c r="AM124" s="48">
        <v>1.3135825242718446</v>
      </c>
      <c r="AN124" s="48">
        <v>1.6104323094425481</v>
      </c>
      <c r="AO124" s="2">
        <v>503.82299999999998</v>
      </c>
      <c r="AP124">
        <f t="shared" si="39"/>
        <v>1.0814576473467075</v>
      </c>
      <c r="AQ124" s="27">
        <f t="shared" si="40"/>
        <v>1.2531374824411443E-2</v>
      </c>
      <c r="AR124" s="52">
        <v>270.59800000000001</v>
      </c>
      <c r="AS124" s="52">
        <v>1.3135825240000001</v>
      </c>
    </row>
    <row r="125" spans="1:45" ht="14.4" x14ac:dyDescent="0.3">
      <c r="A125" s="5">
        <v>45717</v>
      </c>
      <c r="B125">
        <v>1.221512247071352</v>
      </c>
      <c r="C125">
        <v>1.299441340782123</v>
      </c>
      <c r="D125">
        <v>1.235106382978723</v>
      </c>
      <c r="E125">
        <v>1.2573033707865171</v>
      </c>
      <c r="M125" s="2">
        <v>132.45500000000001</v>
      </c>
      <c r="N125" s="27">
        <v>1.2985784313725492</v>
      </c>
      <c r="O125" s="26">
        <v>1.396205357142857</v>
      </c>
      <c r="P125">
        <v>1.254156769596199</v>
      </c>
      <c r="Q125" s="2">
        <v>159.34299999999999</v>
      </c>
      <c r="R125" s="2">
        <f t="shared" si="34"/>
        <v>1.086182685753238</v>
      </c>
      <c r="S125" s="2">
        <v>195.39</v>
      </c>
      <c r="T125" s="2">
        <f t="shared" si="35"/>
        <v>1.3087073007367713</v>
      </c>
      <c r="U125" s="2">
        <v>943.24450000000002</v>
      </c>
      <c r="V125" s="2">
        <f t="shared" si="36"/>
        <v>1.0411111098356605</v>
      </c>
      <c r="W125">
        <v>1.1276371308016879</v>
      </c>
      <c r="X125" s="2">
        <v>129.78100000000001</v>
      </c>
      <c r="Y125" s="2">
        <f t="shared" si="37"/>
        <v>1.2527123552123554</v>
      </c>
      <c r="Z125">
        <v>1319.4</v>
      </c>
      <c r="AA125" s="2">
        <f t="shared" si="41"/>
        <v>0.96588579795021967</v>
      </c>
      <c r="AB125" s="2">
        <v>129.78100000000001</v>
      </c>
      <c r="AC125" s="2">
        <f t="shared" si="38"/>
        <v>1.2527123552123554</v>
      </c>
      <c r="AD125">
        <v>1.2573033707865171</v>
      </c>
      <c r="AE125" s="2">
        <v>83.512</v>
      </c>
      <c r="AF125" s="27">
        <f t="shared" si="42"/>
        <v>0.96769409038238707</v>
      </c>
      <c r="AG125" s="46">
        <v>1.1004878048780486</v>
      </c>
      <c r="AH125" s="46">
        <v>1.2987927565392352</v>
      </c>
      <c r="AI125" s="46">
        <v>1.2759315206445117</v>
      </c>
      <c r="AJ125" s="46">
        <v>1.0899419729206963</v>
      </c>
      <c r="AK125" s="46">
        <v>0.97575169738118328</v>
      </c>
      <c r="AL125" s="48">
        <v>2.2115199999999997</v>
      </c>
      <c r="AM125" s="48">
        <v>1.3368834951456312</v>
      </c>
      <c r="AN125" s="48">
        <v>1.6240955631399316</v>
      </c>
      <c r="AO125" s="2">
        <v>532.28300000000002</v>
      </c>
      <c r="AP125">
        <f t="shared" si="39"/>
        <v>1.0564880920481996</v>
      </c>
      <c r="AQ125" s="27">
        <f t="shared" si="40"/>
        <v>1.2242040464057934E-2</v>
      </c>
      <c r="AR125" s="52">
        <v>275.39800000000002</v>
      </c>
      <c r="AS125" s="52">
        <v>1.3368834949999999</v>
      </c>
    </row>
    <row r="126" spans="1:45" ht="14.4" x14ac:dyDescent="0.3">
      <c r="A126" s="5">
        <v>45748</v>
      </c>
      <c r="B126">
        <v>1.222577209797657</v>
      </c>
      <c r="C126">
        <v>1.3016759776536311</v>
      </c>
      <c r="D126">
        <v>1.2265957446808511</v>
      </c>
      <c r="E126">
        <v>1.2573033707865171</v>
      </c>
      <c r="M126" s="2">
        <v>135.495</v>
      </c>
      <c r="N126" s="27">
        <v>1.3283823529411765</v>
      </c>
      <c r="O126" s="26">
        <v>1.385044642857143</v>
      </c>
      <c r="P126">
        <v>1.2434679334916861</v>
      </c>
      <c r="Q126" s="2">
        <v>159.34299999999999</v>
      </c>
      <c r="R126" s="2">
        <f t="shared" si="34"/>
        <v>1.086182685753238</v>
      </c>
      <c r="S126" s="2">
        <v>195.33699999999999</v>
      </c>
      <c r="T126" s="2">
        <f t="shared" si="35"/>
        <v>1.308352310783657</v>
      </c>
      <c r="U126" s="2">
        <v>938.79945714285702</v>
      </c>
      <c r="V126" s="2">
        <f t="shared" si="36"/>
        <v>1.0362048702527451</v>
      </c>
      <c r="W126">
        <v>1.1255274261603381</v>
      </c>
      <c r="X126" s="2">
        <v>129.41200000000001</v>
      </c>
      <c r="Y126" s="2">
        <f t="shared" si="37"/>
        <v>1.2491505791505793</v>
      </c>
      <c r="Z126">
        <v>1268.75</v>
      </c>
      <c r="AA126" s="2">
        <f t="shared" si="41"/>
        <v>0.92880673499267941</v>
      </c>
      <c r="AB126" s="2">
        <v>129.41200000000001</v>
      </c>
      <c r="AC126" s="2">
        <f t="shared" si="38"/>
        <v>1.2491505791505793</v>
      </c>
      <c r="AD126">
        <v>1.2573033707865171</v>
      </c>
      <c r="AE126" s="2">
        <v>88.972999999999999</v>
      </c>
      <c r="AF126" s="27">
        <f t="shared" si="42"/>
        <v>1.0309733487833141</v>
      </c>
      <c r="AG126" s="46">
        <v>1.0985365853658535</v>
      </c>
      <c r="AH126" s="46">
        <v>1.3551307847082492</v>
      </c>
      <c r="AI126" s="46">
        <v>1.2628398791540787</v>
      </c>
      <c r="AJ126" s="46">
        <v>1.0899419729206963</v>
      </c>
      <c r="AK126" s="46">
        <v>0.97769156159068871</v>
      </c>
      <c r="AL126" s="48">
        <v>2.2115899999999997</v>
      </c>
      <c r="AM126" s="48">
        <v>1.3239271844660194</v>
      </c>
      <c r="AN126" s="48">
        <v>1.551655290102389</v>
      </c>
      <c r="AO126" s="2">
        <v>495.81200000000001</v>
      </c>
      <c r="AP126">
        <f t="shared" si="39"/>
        <v>0.93148193724015227</v>
      </c>
      <c r="AQ126" s="27">
        <f t="shared" si="40"/>
        <v>1.0793533455853445E-2</v>
      </c>
      <c r="AR126" s="52">
        <v>272.72899999999998</v>
      </c>
      <c r="AS126" s="52">
        <v>1.323927184</v>
      </c>
    </row>
    <row r="127" spans="1:45" ht="14.4" x14ac:dyDescent="0.3">
      <c r="A127" s="5">
        <v>45778</v>
      </c>
      <c r="B127">
        <v>1.221512247071352</v>
      </c>
      <c r="C127">
        <v>1.30391061452514</v>
      </c>
      <c r="D127">
        <v>1.2276595744680849</v>
      </c>
      <c r="E127">
        <v>1.2550561797752811</v>
      </c>
      <c r="M127" s="2">
        <v>139.91900000000001</v>
      </c>
      <c r="N127" s="27">
        <v>1.3717549019607844</v>
      </c>
      <c r="O127" s="26">
        <v>1.357142857142857</v>
      </c>
      <c r="P127">
        <v>1.230403800475059</v>
      </c>
      <c r="Q127" s="2">
        <v>159.34299999999999</v>
      </c>
      <c r="R127" s="2">
        <f t="shared" si="34"/>
        <v>1.086182685753238</v>
      </c>
      <c r="S127" s="2">
        <v>195.541</v>
      </c>
      <c r="T127" s="2">
        <f t="shared" si="35"/>
        <v>1.3097186872069657</v>
      </c>
      <c r="U127" s="2">
        <v>938.76463333333299</v>
      </c>
      <c r="V127" s="2">
        <f t="shared" si="36"/>
        <v>1.0361664332886471</v>
      </c>
      <c r="W127">
        <v>1.1255274261603381</v>
      </c>
      <c r="X127" s="2">
        <v>127.926</v>
      </c>
      <c r="Y127" s="2">
        <f t="shared" si="37"/>
        <v>1.2348069498069498</v>
      </c>
      <c r="Z127">
        <v>1168</v>
      </c>
      <c r="AA127" s="2">
        <f t="shared" si="41"/>
        <v>0.85505124450951686</v>
      </c>
      <c r="AB127" s="2">
        <v>127.926</v>
      </c>
      <c r="AC127" s="2">
        <f t="shared" si="38"/>
        <v>1.2348069498069498</v>
      </c>
      <c r="AD127">
        <v>1.2550561797752811</v>
      </c>
      <c r="AE127" s="2">
        <v>78.491</v>
      </c>
      <c r="AF127" s="27">
        <f t="shared" si="42"/>
        <v>0.90951332560834297</v>
      </c>
      <c r="AG127" s="46">
        <v>1.1092682926829269</v>
      </c>
      <c r="AH127" s="46">
        <v>1.2736418511066396</v>
      </c>
      <c r="AI127" s="46">
        <v>1.2578046324269889</v>
      </c>
      <c r="AJ127" s="46">
        <v>1.1083172147001934</v>
      </c>
      <c r="AK127" s="46">
        <v>1.008729388942774</v>
      </c>
      <c r="AL127" s="48">
        <v>2.2115899999999997</v>
      </c>
      <c r="AM127" s="48">
        <v>1.3270631067961165</v>
      </c>
      <c r="AN127" s="48">
        <v>1.4905858930602958</v>
      </c>
      <c r="AO127" s="2">
        <v>470.95400000000001</v>
      </c>
      <c r="AP127">
        <f t="shared" si="39"/>
        <v>0.94986406137810298</v>
      </c>
      <c r="AQ127" s="27">
        <f t="shared" si="40"/>
        <v>1.1006536053048702E-2</v>
      </c>
      <c r="AR127" s="52">
        <v>273.375</v>
      </c>
      <c r="AS127" s="52">
        <v>1.3270631070000001</v>
      </c>
    </row>
    <row r="128" spans="1:45" ht="14.4" x14ac:dyDescent="0.3">
      <c r="A128" s="5">
        <v>45809</v>
      </c>
      <c r="B128">
        <v>1.221512247071352</v>
      </c>
      <c r="C128">
        <v>1.30391061452514</v>
      </c>
      <c r="D128">
        <v>1.2276595744680849</v>
      </c>
      <c r="E128">
        <v>1.2550561797752811</v>
      </c>
      <c r="M128" s="2">
        <v>144.14400000000001</v>
      </c>
      <c r="N128" s="27">
        <v>1.4131764705882353</v>
      </c>
      <c r="O128" s="26">
        <v>1.342633928571429</v>
      </c>
      <c r="P128">
        <v>1.2244655581947741</v>
      </c>
      <c r="Q128" s="2">
        <v>159.34299999999999</v>
      </c>
      <c r="R128" s="2">
        <f t="shared" si="34"/>
        <v>1.086182685753238</v>
      </c>
      <c r="S128" s="2">
        <v>194.923</v>
      </c>
      <c r="T128" s="2">
        <f t="shared" si="35"/>
        <v>1.3055793703951775</v>
      </c>
      <c r="U128" s="2">
        <v>939.608785714286</v>
      </c>
      <c r="V128" s="2">
        <f t="shared" si="36"/>
        <v>1.0370981709475513</v>
      </c>
      <c r="W128">
        <v>1.1265822784810131</v>
      </c>
      <c r="X128" s="2">
        <v>127.905</v>
      </c>
      <c r="Y128" s="2">
        <f t="shared" si="37"/>
        <v>1.2346042471042471</v>
      </c>
      <c r="Z128">
        <v>1131.5999999999999</v>
      </c>
      <c r="AA128" s="2">
        <f t="shared" si="41"/>
        <v>0.82840409956076133</v>
      </c>
      <c r="AB128" s="2">
        <v>127.905</v>
      </c>
      <c r="AC128" s="2">
        <f t="shared" si="38"/>
        <v>1.2346042471042471</v>
      </c>
      <c r="AD128">
        <v>1.2550561797752811</v>
      </c>
      <c r="AE128" s="27">
        <v>78.491</v>
      </c>
      <c r="AF128" s="27">
        <f t="shared" si="42"/>
        <v>0.90951332560834297</v>
      </c>
      <c r="AG128" s="46">
        <v>1.1073170731707318</v>
      </c>
      <c r="AH128" s="46">
        <v>1.2847082494969819</v>
      </c>
      <c r="AI128" s="46">
        <v>1.2265861027190332</v>
      </c>
      <c r="AJ128" s="46">
        <v>1.104448742746615</v>
      </c>
      <c r="AK128" s="46">
        <v>1.0048496605237633</v>
      </c>
      <c r="AL128" s="48">
        <v>2.2115899999999997</v>
      </c>
      <c r="AM128" s="48">
        <v>1.3059951456310681</v>
      </c>
      <c r="AN128" s="48">
        <v>1.376626848691695</v>
      </c>
      <c r="AO128" s="2">
        <v>465.96499999999997</v>
      </c>
      <c r="AP128">
        <f t="shared" si="39"/>
        <v>0.98940660871337749</v>
      </c>
      <c r="AQ128" s="27">
        <f t="shared" si="40"/>
        <v>1.1464734747547828E-2</v>
      </c>
      <c r="AR128" s="52">
        <v>269.03500000000003</v>
      </c>
      <c r="AS128" s="52">
        <v>1.3059951460000001</v>
      </c>
    </row>
    <row r="129" spans="1:45" ht="14.4" x14ac:dyDescent="0.3">
      <c r="A129" s="5">
        <v>45839</v>
      </c>
      <c r="B129">
        <v>1.2236421725239619</v>
      </c>
      <c r="C129">
        <v>1.3027932960893851</v>
      </c>
      <c r="D129">
        <v>1.2372340425531909</v>
      </c>
      <c r="E129">
        <v>1.2516853932584271</v>
      </c>
      <c r="M129" s="2">
        <v>143.34899999999999</v>
      </c>
      <c r="N129" s="27">
        <v>1.4053823529411764</v>
      </c>
      <c r="O129" s="26">
        <v>1.330357142857143</v>
      </c>
      <c r="P129">
        <v>1.212589073634204</v>
      </c>
      <c r="Q129" s="2">
        <v>159.34299999999999</v>
      </c>
      <c r="R129" s="2">
        <f t="shared" si="34"/>
        <v>1.086182685753238</v>
      </c>
      <c r="S129" s="2">
        <v>195.46600000000001</v>
      </c>
      <c r="T129" s="2">
        <f t="shared" si="35"/>
        <v>1.3092163429336905</v>
      </c>
      <c r="U129" s="2">
        <v>953.77464285714302</v>
      </c>
      <c r="V129" s="2">
        <f t="shared" si="36"/>
        <v>1.0527338107543811</v>
      </c>
      <c r="W129">
        <v>1.121308016877637</v>
      </c>
      <c r="X129" s="2">
        <v>129.27500000000001</v>
      </c>
      <c r="Y129" s="2">
        <f t="shared" si="37"/>
        <v>1.2478281853281854</v>
      </c>
      <c r="Z129">
        <v>1134</v>
      </c>
      <c r="AA129" s="2">
        <f t="shared" si="41"/>
        <v>0.8301610541727672</v>
      </c>
      <c r="AB129" s="2">
        <v>129.27500000000001</v>
      </c>
      <c r="AC129" s="2">
        <f t="shared" si="38"/>
        <v>1.2478281853281854</v>
      </c>
      <c r="AD129">
        <v>1.2516853932584271</v>
      </c>
      <c r="AE129" s="27"/>
      <c r="AF129" s="27">
        <f t="shared" si="42"/>
        <v>0</v>
      </c>
      <c r="AG129" s="46">
        <v>1.1073170731707318</v>
      </c>
      <c r="AH129" s="46">
        <v>1.2917505030181087</v>
      </c>
      <c r="AI129" s="46">
        <v>1.2165156092648539</v>
      </c>
      <c r="AJ129" s="46">
        <v>1.1150870406189555</v>
      </c>
      <c r="AK129" s="46">
        <v>1.0106692531522794</v>
      </c>
      <c r="AL129" s="48">
        <v>2.1707800000000002</v>
      </c>
      <c r="AM129" s="48">
        <v>1.3119126213592234</v>
      </c>
      <c r="AN129" s="48">
        <v>1.340688282138794</v>
      </c>
      <c r="AO129" s="2">
        <v>463.37400000000002</v>
      </c>
      <c r="AP129">
        <f t="shared" si="39"/>
        <v>0.99443949652870933</v>
      </c>
      <c r="AQ129" s="27">
        <f t="shared" si="40"/>
        <v>1.1523053262209842E-2</v>
      </c>
      <c r="AR129" s="52">
        <v>270.25400000000002</v>
      </c>
      <c r="AS129" s="52">
        <v>1.3119126210000001</v>
      </c>
    </row>
    <row r="130" spans="1:45" ht="14.4" x14ac:dyDescent="0.3">
      <c r="A130" s="5">
        <v>45870</v>
      </c>
      <c r="B130">
        <v>1.2236421725239619</v>
      </c>
      <c r="C130">
        <v>1.3027932960893851</v>
      </c>
      <c r="D130">
        <v>1.2372340425531909</v>
      </c>
      <c r="E130">
        <v>1.2516853932584271</v>
      </c>
      <c r="M130" s="2">
        <v>144.126</v>
      </c>
      <c r="N130" s="27">
        <v>1.413</v>
      </c>
      <c r="O130" s="26">
        <v>1.331473214285714</v>
      </c>
      <c r="P130">
        <v>1.204275534441805</v>
      </c>
      <c r="Q130" s="2">
        <v>159.34299999999999</v>
      </c>
      <c r="R130" s="2">
        <f t="shared" si="34"/>
        <v>1.086182685753238</v>
      </c>
      <c r="S130" s="2">
        <v>193.672</v>
      </c>
      <c r="T130" s="2">
        <f t="shared" si="35"/>
        <v>1.2972002679169456</v>
      </c>
      <c r="U130" s="2">
        <v>959.52797499999997</v>
      </c>
      <c r="V130" s="2">
        <f t="shared" si="36"/>
        <v>1.0590840815616882</v>
      </c>
      <c r="W130">
        <v>1.1234177215189869</v>
      </c>
      <c r="X130" s="2">
        <v>129.767</v>
      </c>
      <c r="Y130" s="2">
        <f t="shared" si="37"/>
        <v>1.2525772200772201</v>
      </c>
      <c r="Z130">
        <v>1106.75</v>
      </c>
      <c r="AA130" s="2">
        <f t="shared" si="41"/>
        <v>0.81021229868228406</v>
      </c>
      <c r="AB130" s="2">
        <v>129.767</v>
      </c>
      <c r="AC130" s="2">
        <f t="shared" si="38"/>
        <v>1.2525772200772201</v>
      </c>
      <c r="AD130">
        <v>1.2516853932584271</v>
      </c>
      <c r="AE130" s="27"/>
      <c r="AF130" s="27"/>
      <c r="AG130" s="46">
        <v>1.1258536585365855</v>
      </c>
      <c r="AH130" s="46">
        <v>1.2213279678068409</v>
      </c>
      <c r="AI130" s="46">
        <v>1.3413897280966767</v>
      </c>
      <c r="AJ130" s="46">
        <v>1.1324951644100578</v>
      </c>
      <c r="AK130" s="46">
        <v>1.01454898157129</v>
      </c>
      <c r="AL130" s="48">
        <v>2.1707800000000002</v>
      </c>
      <c r="AM130" s="48">
        <v>1.3162038834951455</v>
      </c>
      <c r="AN130" s="48">
        <v>1.2782195676905574</v>
      </c>
      <c r="AO130" s="2">
        <v>464.87799999999999</v>
      </c>
      <c r="AP130">
        <f t="shared" si="39"/>
        <v>1.0032457582859633</v>
      </c>
      <c r="AQ130" s="27"/>
      <c r="AR130" s="52">
        <v>271.13799999999998</v>
      </c>
      <c r="AS130" s="52">
        <v>1.316203883</v>
      </c>
    </row>
    <row r="131" spans="1:45" ht="14.4" x14ac:dyDescent="0.3">
      <c r="A131" s="5">
        <v>45901</v>
      </c>
      <c r="B131">
        <v>1.2247071352502661</v>
      </c>
      <c r="C131">
        <v>1.3016759776536311</v>
      </c>
      <c r="D131">
        <v>1.235106382978723</v>
      </c>
      <c r="E131">
        <v>1.2483146067415729</v>
      </c>
      <c r="M131" s="2">
        <v>143.24600000000001</v>
      </c>
      <c r="N131" s="27">
        <v>1.404372549019608</v>
      </c>
      <c r="P131">
        <v>1.201900237529691</v>
      </c>
      <c r="Q131" s="2">
        <v>159.34299999999999</v>
      </c>
      <c r="R131" s="2">
        <f t="shared" si="34"/>
        <v>1.086182685753238</v>
      </c>
      <c r="S131" s="2">
        <v>192.42</v>
      </c>
      <c r="T131" s="2">
        <f t="shared" si="35"/>
        <v>1.2888144675150701</v>
      </c>
      <c r="U131" s="2">
        <v>1054.99945555556</v>
      </c>
      <c r="V131" s="2">
        <f t="shared" si="36"/>
        <v>1.1644612335926334</v>
      </c>
      <c r="W131">
        <v>1.1234177215189869</v>
      </c>
      <c r="X131" s="2">
        <v>129.494</v>
      </c>
      <c r="Y131" s="2">
        <f t="shared" si="37"/>
        <v>1.249942084942085</v>
      </c>
      <c r="Z131">
        <v>1046.8</v>
      </c>
      <c r="AA131" s="2">
        <f t="shared" si="41"/>
        <v>0.76632503660322104</v>
      </c>
      <c r="AB131" s="2">
        <v>129.494</v>
      </c>
      <c r="AC131" s="2">
        <f t="shared" si="38"/>
        <v>1.249942084942085</v>
      </c>
      <c r="AD131">
        <v>1.2483146067415729</v>
      </c>
      <c r="AE131" s="27"/>
      <c r="AF131" s="27"/>
      <c r="AG131" s="46">
        <v>1.1443902439024389</v>
      </c>
      <c r="AH131" s="46">
        <v>1.2505030181086518</v>
      </c>
      <c r="AI131" s="46">
        <v>1.3222557905337362</v>
      </c>
      <c r="AJ131" s="46">
        <v>1.1605415860735009</v>
      </c>
      <c r="AK131" s="46">
        <v>1.0329776915615907</v>
      </c>
      <c r="AL131" s="48">
        <v>2.1707800000000002</v>
      </c>
      <c r="AM131" s="48">
        <v>1.3088058252427184</v>
      </c>
      <c r="AN131" s="48">
        <v>1.2620307167235494</v>
      </c>
      <c r="AO131" s="2">
        <v>461.75099999999998</v>
      </c>
      <c r="AP131">
        <f t="shared" si="39"/>
        <v>0.99327350401610748</v>
      </c>
      <c r="AQ131" s="27"/>
      <c r="AR131" s="52">
        <v>269.61399999999998</v>
      </c>
      <c r="AS131" s="52">
        <v>1.3088058250000001</v>
      </c>
    </row>
    <row r="132" spans="1:45" ht="14.4" x14ac:dyDescent="0.3">
      <c r="A132" s="5">
        <v>45931</v>
      </c>
      <c r="B132">
        <v>1.222577209797657</v>
      </c>
      <c r="C132">
        <v>1.3027932960893851</v>
      </c>
      <c r="D132">
        <v>1.2393617021276599</v>
      </c>
      <c r="E132">
        <v>1.249438202247191</v>
      </c>
      <c r="M132" s="2">
        <v>143.197</v>
      </c>
      <c r="N132" s="27">
        <v>1.4038921568627452</v>
      </c>
      <c r="P132">
        <v>1.1923990498812349</v>
      </c>
      <c r="Q132" s="2">
        <v>159.34299999999999</v>
      </c>
      <c r="R132" s="2">
        <f t="shared" si="34"/>
        <v>1.086182685753238</v>
      </c>
      <c r="S132" s="2">
        <v>190.739</v>
      </c>
      <c r="T132" s="2">
        <f t="shared" si="35"/>
        <v>1.2775552578700602</v>
      </c>
      <c r="U132" s="2">
        <v>1113.3076000000001</v>
      </c>
      <c r="V132" s="2">
        <f t="shared" si="36"/>
        <v>1.2288191566709117</v>
      </c>
      <c r="W132">
        <v>1.1181434599156119</v>
      </c>
      <c r="X132" s="2">
        <v>127.124</v>
      </c>
      <c r="Y132" s="2">
        <f t="shared" si="37"/>
        <v>1.227065637065637</v>
      </c>
      <c r="Z132">
        <v>983.75</v>
      </c>
      <c r="AA132" s="2">
        <f t="shared" si="41"/>
        <v>0.72016837481698392</v>
      </c>
      <c r="AB132" s="2">
        <v>127.124</v>
      </c>
      <c r="AC132" s="2">
        <f t="shared" si="38"/>
        <v>1.227065637065637</v>
      </c>
      <c r="AD132">
        <v>1.249438202247191</v>
      </c>
      <c r="AE132" s="27"/>
      <c r="AF132" s="27"/>
      <c r="AG132" s="46">
        <v>1.1609756097560975</v>
      </c>
      <c r="AH132" s="46">
        <v>1.288732394366197</v>
      </c>
      <c r="AI132" s="46">
        <v>1.3444108761329305</v>
      </c>
      <c r="AJ132" s="46">
        <v>1.1798839458413926</v>
      </c>
      <c r="AK132" s="46">
        <v>1.061105722599418</v>
      </c>
      <c r="AL132" s="48">
        <v>2.1713300000000002</v>
      </c>
      <c r="AM132" s="48">
        <v>1.2969077669902913</v>
      </c>
      <c r="AN132" s="48">
        <v>1.2586120591581342</v>
      </c>
      <c r="AO132" s="2">
        <v>453.80900000000003</v>
      </c>
      <c r="AP132">
        <f t="shared" si="39"/>
        <v>0.98280025381645097</v>
      </c>
      <c r="AQ132" s="27"/>
      <c r="AR132" s="52">
        <v>267.16300000000001</v>
      </c>
      <c r="AS132" s="52">
        <v>1.296907767</v>
      </c>
    </row>
    <row r="133" spans="1:45" ht="14.4" x14ac:dyDescent="0.3">
      <c r="A133" s="5">
        <v>45962</v>
      </c>
      <c r="B133">
        <v>1.221512247071352</v>
      </c>
      <c r="C133">
        <v>1.3027932960893851</v>
      </c>
      <c r="D133">
        <v>1.243617021276596</v>
      </c>
      <c r="E133">
        <v>1.2426966292134829</v>
      </c>
      <c r="M133" s="2">
        <v>144.624</v>
      </c>
      <c r="N133" s="27">
        <v>1.4178823529411764</v>
      </c>
      <c r="P133">
        <v>1.1793349168646079</v>
      </c>
      <c r="Q133" s="2">
        <v>159.34299999999999</v>
      </c>
      <c r="R133" s="2">
        <f t="shared" ref="R133:R134" si="43">Q133/$Q$3</f>
        <v>1.086182685753238</v>
      </c>
      <c r="S133" s="2">
        <v>188.983</v>
      </c>
      <c r="T133" s="2">
        <f t="shared" ref="T133:T134" si="44">S133/$S$3</f>
        <v>1.2657937039517748</v>
      </c>
      <c r="U133" s="2">
        <v>1127.27968333333</v>
      </c>
      <c r="V133" s="2">
        <f t="shared" ref="V133:V134" si="45">U133/$U$3</f>
        <v>1.2442409176097557</v>
      </c>
      <c r="W133">
        <v>1.114978902953587</v>
      </c>
      <c r="X133" s="2">
        <v>127.294</v>
      </c>
      <c r="Y133" s="2">
        <f t="shared" ref="Y133:Y134" si="46">X133/$X$3</f>
        <v>1.2287065637065637</v>
      </c>
      <c r="Z133">
        <v>1001</v>
      </c>
      <c r="AA133" s="2">
        <f t="shared" si="41"/>
        <v>0.73279648609077597</v>
      </c>
      <c r="AB133" s="2">
        <v>127.294</v>
      </c>
      <c r="AC133" s="2">
        <f t="shared" ref="AC133:AC134" si="47">AB133/$AB$3</f>
        <v>1.2287065637065637</v>
      </c>
      <c r="AD133">
        <v>1.2426966292134829</v>
      </c>
      <c r="AE133" s="27"/>
      <c r="AF133" s="27"/>
      <c r="AG133" s="46">
        <v>1.1707317073170731</v>
      </c>
      <c r="AH133" s="46">
        <v>1.3098591549295773</v>
      </c>
      <c r="AI133" s="46">
        <v>1.3051359516616314</v>
      </c>
      <c r="AJ133" s="46">
        <v>1.1943907156673113</v>
      </c>
      <c r="AK133" s="46">
        <v>1.0795344325897187</v>
      </c>
      <c r="AL133" s="48">
        <v>2.1713300000000002</v>
      </c>
      <c r="AM133" s="48">
        <v>1.3056601941747574</v>
      </c>
      <c r="AN133" s="48">
        <v>1.2558248009101252</v>
      </c>
      <c r="AO133" s="2">
        <v>451.39600000000002</v>
      </c>
      <c r="AP133">
        <f t="shared" ref="AP133:AP134" si="48">AO133/AO132</f>
        <v>0.99468278504833529</v>
      </c>
      <c r="AQ133" s="27"/>
      <c r="AR133" s="52">
        <v>268.96600000000001</v>
      </c>
      <c r="AS133" s="52">
        <v>1.3056601940000001</v>
      </c>
    </row>
    <row r="134" spans="1:45" ht="14.4" x14ac:dyDescent="0.3">
      <c r="A134" s="5">
        <v>45992</v>
      </c>
      <c r="B134">
        <v>1.221512247071352</v>
      </c>
      <c r="C134">
        <v>1.30391061452514</v>
      </c>
      <c r="D134">
        <v>1.2425531914893619</v>
      </c>
      <c r="E134">
        <v>1.238202247191011</v>
      </c>
      <c r="M134" s="2">
        <v>145.32900000000001</v>
      </c>
      <c r="N134" s="27">
        <v>1.4247941176470589</v>
      </c>
      <c r="P134">
        <v>1.175771971496437</v>
      </c>
      <c r="Q134" s="2">
        <v>159.34299999999999</v>
      </c>
      <c r="R134" s="2">
        <f t="shared" si="43"/>
        <v>1.086182685753238</v>
      </c>
      <c r="S134" s="27">
        <v>188.983</v>
      </c>
      <c r="T134" s="2">
        <f t="shared" si="44"/>
        <v>1.2657937039517748</v>
      </c>
      <c r="U134" s="2">
        <v>1218.7489800000001</v>
      </c>
      <c r="V134" s="2">
        <f t="shared" si="45"/>
        <v>1.3452006379882198</v>
      </c>
      <c r="W134">
        <v>1.1160337552742621</v>
      </c>
      <c r="X134" s="2">
        <v>127.461</v>
      </c>
      <c r="Y134" s="2">
        <f t="shared" si="46"/>
        <v>1.2303185328185329</v>
      </c>
      <c r="Z134">
        <v>1026.2</v>
      </c>
      <c r="AA134" s="2">
        <f t="shared" si="41"/>
        <v>0.75124450951683752</v>
      </c>
      <c r="AB134" s="2">
        <v>127.461</v>
      </c>
      <c r="AC134" s="2">
        <f t="shared" si="47"/>
        <v>1.2303185328185329</v>
      </c>
      <c r="AD134">
        <v>1.238202247191011</v>
      </c>
      <c r="AE134" s="27"/>
      <c r="AF134" s="27"/>
      <c r="AG134" s="46">
        <v>1.1834146341463414</v>
      </c>
      <c r="AH134" s="46">
        <v>1.311871227364185</v>
      </c>
      <c r="AI134" s="46">
        <v>1.2739174219536757</v>
      </c>
      <c r="AJ134" s="46">
        <v>1.2147001934235975</v>
      </c>
      <c r="AK134" s="46">
        <v>1.1008729388942775</v>
      </c>
      <c r="AL134" s="48">
        <v>2.1713300000000002</v>
      </c>
      <c r="AM134" s="48">
        <v>1.3087378640776701</v>
      </c>
      <c r="AN134" s="48">
        <v>1.2238794084186575</v>
      </c>
      <c r="AO134" s="2">
        <v>470.11</v>
      </c>
      <c r="AP134">
        <f t="shared" si="48"/>
        <v>1.0414580545684942</v>
      </c>
      <c r="AQ134" s="27"/>
      <c r="AR134" s="52">
        <v>269.387</v>
      </c>
      <c r="AS134" s="52">
        <v>1.3077038830000001</v>
      </c>
    </row>
    <row r="135" spans="1:45" ht="15" customHeight="1" x14ac:dyDescent="0.3">
      <c r="AQ135" s="26"/>
      <c r="AR135" s="52"/>
      <c r="AS135" s="52"/>
    </row>
    <row r="136" spans="1:45" ht="15" customHeight="1" x14ac:dyDescent="0.3">
      <c r="AQ136" s="26"/>
      <c r="AR136" s="52"/>
      <c r="AS136" s="52"/>
    </row>
  </sheetData>
  <phoneticPr fontId="13" type="noConversion"/>
  <pageMargins left="0.75" right="0.75" top="1" bottom="1" header="0.5" footer="0.5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A64A41-F43F-4361-AE33-6FD373C824AF}">
  <dimension ref="A1:BS136"/>
  <sheetViews>
    <sheetView workbookViewId="0">
      <selection activeCell="T8" sqref="T8"/>
    </sheetView>
  </sheetViews>
  <sheetFormatPr defaultRowHeight="15" customHeight="1" x14ac:dyDescent="0.3"/>
  <cols>
    <col min="1" max="1" width="19.5546875" bestFit="1" customWidth="1"/>
    <col min="2" max="2" width="9.33203125" style="24" bestFit="1" customWidth="1"/>
    <col min="3" max="5" width="9.109375" style="24"/>
    <col min="6" max="9" width="13.88671875" style="25" customWidth="1"/>
    <col min="10" max="10" width="14.33203125" style="25" customWidth="1"/>
    <col min="11" max="11" width="21.44140625" style="25" customWidth="1"/>
    <col min="12" max="12" width="13.88671875" style="25" customWidth="1"/>
    <col min="13" max="15" width="13.88671875" style="26" customWidth="1"/>
    <col min="16" max="16" width="12.6640625" style="26" customWidth="1"/>
    <col min="17" max="17" width="13.33203125" style="26" customWidth="1"/>
    <col min="18" max="18" width="12.33203125" style="26" customWidth="1"/>
    <col min="19" max="19" width="13.109375" style="29" customWidth="1"/>
    <col min="20" max="20" width="12.109375" style="26" customWidth="1"/>
    <col min="21" max="21" width="12.6640625" style="26" customWidth="1"/>
    <col min="22" max="23" width="10.88671875" style="26" customWidth="1"/>
    <col min="24" max="24" width="12.33203125" style="26" customWidth="1"/>
    <col min="25" max="25" width="18" customWidth="1"/>
  </cols>
  <sheetData>
    <row r="1" spans="1:71" ht="14.4" customHeight="1" x14ac:dyDescent="0.3">
      <c r="A1" s="4" t="s">
        <v>36</v>
      </c>
      <c r="B1" s="18">
        <v>1</v>
      </c>
      <c r="C1" s="18">
        <v>2</v>
      </c>
      <c r="D1" s="18">
        <v>3</v>
      </c>
      <c r="E1" s="18">
        <v>4</v>
      </c>
      <c r="F1" s="19">
        <v>5</v>
      </c>
      <c r="G1" s="19">
        <v>6</v>
      </c>
      <c r="H1" s="19">
        <v>7</v>
      </c>
      <c r="I1" s="19">
        <v>8</v>
      </c>
      <c r="J1" s="19">
        <v>9</v>
      </c>
      <c r="K1" s="19">
        <v>10</v>
      </c>
      <c r="L1" s="19">
        <v>11</v>
      </c>
      <c r="M1" s="36"/>
      <c r="N1" s="36"/>
      <c r="O1" s="36"/>
      <c r="P1" s="20"/>
      <c r="Q1" s="20"/>
      <c r="R1" s="20"/>
      <c r="S1" s="21"/>
      <c r="T1" s="20"/>
      <c r="U1" s="20"/>
      <c r="V1" s="20"/>
      <c r="W1" s="20"/>
      <c r="X1" s="20"/>
      <c r="Y1" s="17"/>
    </row>
    <row r="2" spans="1:71" s="7" customFormat="1" ht="45.75" customHeight="1" x14ac:dyDescent="0.3">
      <c r="A2" s="1" t="s">
        <v>1</v>
      </c>
      <c r="B2" s="22" t="s">
        <v>37</v>
      </c>
      <c r="C2" s="22" t="s">
        <v>38</v>
      </c>
      <c r="D2" s="22" t="s">
        <v>4</v>
      </c>
      <c r="E2" s="22" t="s">
        <v>39</v>
      </c>
      <c r="F2" s="23" t="s">
        <v>40</v>
      </c>
      <c r="G2" s="23" t="s">
        <v>5</v>
      </c>
      <c r="H2" s="23" t="s">
        <v>6</v>
      </c>
      <c r="I2" s="23" t="s">
        <v>7</v>
      </c>
      <c r="J2" s="23" t="s">
        <v>8</v>
      </c>
      <c r="K2" s="23" t="s">
        <v>9</v>
      </c>
      <c r="L2" s="23" t="s">
        <v>10</v>
      </c>
      <c r="M2" s="30" t="s">
        <v>12</v>
      </c>
      <c r="N2" s="30" t="s">
        <v>41</v>
      </c>
      <c r="O2" s="30" t="s">
        <v>13</v>
      </c>
      <c r="P2" s="30" t="s">
        <v>42</v>
      </c>
      <c r="Q2" s="30" t="s">
        <v>43</v>
      </c>
      <c r="R2" s="30" t="s">
        <v>18</v>
      </c>
      <c r="S2" s="30" t="s">
        <v>20</v>
      </c>
      <c r="T2" s="31" t="s">
        <v>23</v>
      </c>
      <c r="U2" s="30" t="s">
        <v>44</v>
      </c>
      <c r="V2" s="37" t="s">
        <v>26</v>
      </c>
      <c r="W2" s="34" t="s">
        <v>27</v>
      </c>
      <c r="X2" s="38" t="s">
        <v>29</v>
      </c>
      <c r="Y2" s="4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 s="32"/>
    </row>
    <row r="3" spans="1:71" ht="14.4" x14ac:dyDescent="0.3">
      <c r="A3" s="5">
        <v>42005</v>
      </c>
      <c r="B3" s="24">
        <v>1</v>
      </c>
      <c r="C3" s="24">
        <v>1</v>
      </c>
      <c r="D3" s="24">
        <v>1</v>
      </c>
      <c r="E3" s="24">
        <v>1</v>
      </c>
      <c r="F3" s="25">
        <f t="shared" ref="F3:L3" si="0">VLOOKUP(YEAR($A3),_HOUT_INDEX_TAB,COLUMN(A2)+1,FALSE)+(VLOOKUP(YEAR($A3)+1,_HOUT_INDEX_TAB,COLUMN(A2)+1,FALSE)-VLOOKUP(YEAR($A3),_HOUT_INDEX_TAB,COLUMN(A2)+1,FALSE))*((MONTH($A3)-1)/12)</f>
        <v>1</v>
      </c>
      <c r="G3" s="25">
        <f t="shared" si="0"/>
        <v>1</v>
      </c>
      <c r="H3" s="25">
        <f t="shared" si="0"/>
        <v>1</v>
      </c>
      <c r="I3" s="25">
        <f t="shared" si="0"/>
        <v>1</v>
      </c>
      <c r="J3" s="25">
        <f t="shared" si="0"/>
        <v>1</v>
      </c>
      <c r="K3" s="25">
        <f>VLOOKUP(YEAR($A3),_HOUT_INDEX_TAB,COLUMN(F2)+1,FALSE)+(VLOOKUP(YEAR($A3)+1,_HOUT_INDEX_TAB,COLUMN(F2)+I101,FALSE)-VLOOKUP(YEAR($A3),_HOUT_INDEX_TAB,COLUMN(F2)+1,FALSE))*((MONTH($A3)-1)/12)</f>
        <v>1</v>
      </c>
      <c r="L3" s="25">
        <f t="shared" si="0"/>
        <v>1</v>
      </c>
      <c r="M3" s="2">
        <v>102</v>
      </c>
      <c r="N3" s="27">
        <v>1</v>
      </c>
      <c r="O3" s="26">
        <v>1</v>
      </c>
      <c r="P3" s="2">
        <v>146.69999999999999</v>
      </c>
      <c r="Q3" s="2">
        <v>146.69999999999999</v>
      </c>
      <c r="R3" s="2">
        <v>149.30000000000001</v>
      </c>
      <c r="S3" s="2">
        <v>905.99792000000002</v>
      </c>
      <c r="T3" s="2">
        <v>103.6</v>
      </c>
      <c r="U3" s="27"/>
      <c r="V3" s="2">
        <v>103.6</v>
      </c>
      <c r="W3" s="27"/>
      <c r="X3" s="2">
        <v>86.3</v>
      </c>
      <c r="Y3" s="3"/>
    </row>
    <row r="4" spans="1:71" ht="14.4" x14ac:dyDescent="0.3">
      <c r="A4" s="5">
        <v>42036</v>
      </c>
      <c r="B4" s="24">
        <v>1.0010649627263</v>
      </c>
      <c r="C4" s="24">
        <v>0.988620199146515</v>
      </c>
      <c r="D4" s="24">
        <v>1.003191489361702</v>
      </c>
      <c r="E4" s="24">
        <v>0.99460625674217906</v>
      </c>
      <c r="F4" s="25">
        <f>VLOOKUP(YEAR($A4),_HOUT_INDEX_TAB,COLUMN(A1)+1,FALSE)+(VLOOKUP(YEAR($A4)+1,_HOUT_INDEX_TAB,COLUMN(A1)+1,FALSE)-VLOOKUP(YEAR($A4),_HOUT_INDEX_TAB,COLUMN(A1)+1,FALSE))*((MONTH($A4)-1)/12)</f>
        <v>0.99855992575937458</v>
      </c>
      <c r="G4" s="25">
        <f t="shared" ref="G4:L4" si="1">VLOOKUP(YEAR($A4),_HOUT_INDEX_TAB,COLUMN(B1)+1,FALSE)+(VLOOKUP(YEAR($A4)+1,_HOUT_INDEX_TAB,COLUMN(B1)+1,FALSE)-VLOOKUP(YEAR($A4),_HOUT_INDEX_TAB,COLUMN(B1)+1,FALSE))*((MONTH($A4)-1)/12)</f>
        <v>1.000139499840043</v>
      </c>
      <c r="H4" s="25">
        <f t="shared" si="1"/>
        <v>1.0020958612302626</v>
      </c>
      <c r="I4" s="25">
        <f t="shared" si="1"/>
        <v>0.99646355707067935</v>
      </c>
      <c r="J4" s="25">
        <f t="shared" si="1"/>
        <v>0.99568655003463924</v>
      </c>
      <c r="K4" s="25">
        <f t="shared" si="1"/>
        <v>0.99735584146183953</v>
      </c>
      <c r="L4" s="25">
        <f t="shared" si="1"/>
        <v>0.9972587336748947</v>
      </c>
      <c r="M4" s="2">
        <v>101.2</v>
      </c>
      <c r="N4" s="27">
        <f>M4/$M$3*100</f>
        <v>99.215686274509807</v>
      </c>
      <c r="O4" s="26">
        <v>1.018973214285714</v>
      </c>
      <c r="P4" s="2">
        <v>145.4</v>
      </c>
      <c r="Q4" s="2">
        <v>145.4</v>
      </c>
      <c r="R4" s="2">
        <v>149.19999999999999</v>
      </c>
      <c r="S4" s="2">
        <v>891.64363577297797</v>
      </c>
      <c r="T4" s="2">
        <v>102.8</v>
      </c>
      <c r="U4" s="27"/>
      <c r="V4" s="2">
        <v>102.8</v>
      </c>
      <c r="W4" s="27"/>
      <c r="X4" s="2">
        <v>81.3</v>
      </c>
      <c r="Y4" s="3"/>
    </row>
    <row r="5" spans="1:71" ht="14.4" x14ac:dyDescent="0.3">
      <c r="A5" s="5">
        <v>42064</v>
      </c>
      <c r="B5" s="24">
        <v>1.0031948881789139</v>
      </c>
      <c r="C5" s="24">
        <v>0.98435277382645814</v>
      </c>
      <c r="D5" s="24">
        <v>1.0042553191489361</v>
      </c>
      <c r="E5" s="24">
        <v>0.99352750809061474</v>
      </c>
      <c r="F5" s="25">
        <f t="shared" ref="F5:L36" si="2">VLOOKUP(YEAR($A5),_HOUT_INDEX_TAB,COLUMN(A3)+1,FALSE)+(VLOOKUP(YEAR($A5)+1,_HOUT_INDEX_TAB,COLUMN(A3)+1,FALSE)-VLOOKUP(YEAR($A5),_HOUT_INDEX_TAB,COLUMN(A3)+1,FALSE))*((MONTH($A5)-1)/12)</f>
        <v>0.99711985151874916</v>
      </c>
      <c r="G5" s="25">
        <f t="shared" si="2"/>
        <v>1.0002789996800863</v>
      </c>
      <c r="H5" s="25">
        <f t="shared" si="2"/>
        <v>1.0041917224605252</v>
      </c>
      <c r="I5" s="25">
        <f t="shared" si="2"/>
        <v>0.9929271141413587</v>
      </c>
      <c r="J5" s="25">
        <f t="shared" si="2"/>
        <v>0.99137310006927837</v>
      </c>
      <c r="K5" s="25">
        <f t="shared" si="2"/>
        <v>0.99471168292367906</v>
      </c>
      <c r="L5" s="25">
        <f t="shared" si="2"/>
        <v>0.99451746734978941</v>
      </c>
      <c r="M5" s="2">
        <v>100.6</v>
      </c>
      <c r="N5" s="27">
        <f t="shared" ref="N5:N67" si="3">M5/$M$3*100</f>
        <v>98.627450980392155</v>
      </c>
      <c r="O5" s="26">
        <v>1.0234375</v>
      </c>
      <c r="P5" s="2">
        <v>146.1</v>
      </c>
      <c r="Q5" s="2">
        <v>146.1</v>
      </c>
      <c r="R5" s="2">
        <v>149.1</v>
      </c>
      <c r="S5" s="2">
        <v>874.5761</v>
      </c>
      <c r="T5" s="2">
        <v>100.1</v>
      </c>
      <c r="U5" s="27"/>
      <c r="V5" s="2">
        <v>100.1</v>
      </c>
      <c r="W5" s="27"/>
      <c r="X5" s="2">
        <v>80</v>
      </c>
      <c r="Y5" s="3"/>
    </row>
    <row r="6" spans="1:71" ht="14.4" x14ac:dyDescent="0.3">
      <c r="A6" s="5">
        <v>42095</v>
      </c>
      <c r="B6" s="24">
        <v>1.0031948881789139</v>
      </c>
      <c r="C6" s="24">
        <v>0.98293029871977233</v>
      </c>
      <c r="D6" s="24">
        <v>1.0053191489361699</v>
      </c>
      <c r="E6" s="24">
        <v>0.99460625674217906</v>
      </c>
      <c r="F6" s="25">
        <f t="shared" si="2"/>
        <v>0.99567977727812362</v>
      </c>
      <c r="G6" s="25">
        <f t="shared" si="2"/>
        <v>1.0004184995201295</v>
      </c>
      <c r="H6" s="25">
        <f t="shared" si="2"/>
        <v>1.0062875836907876</v>
      </c>
      <c r="I6" s="25">
        <f t="shared" si="2"/>
        <v>0.98939067121203794</v>
      </c>
      <c r="J6" s="25">
        <f t="shared" si="2"/>
        <v>0.98705965010391761</v>
      </c>
      <c r="K6" s="25">
        <f t="shared" si="2"/>
        <v>0.9920675243855186</v>
      </c>
      <c r="L6" s="25">
        <f t="shared" si="2"/>
        <v>0.99177620102468411</v>
      </c>
      <c r="M6" s="2">
        <v>100.4</v>
      </c>
      <c r="N6" s="27">
        <f t="shared" si="3"/>
        <v>98.431372549019613</v>
      </c>
      <c r="O6" s="26">
        <v>1.029017857142857</v>
      </c>
      <c r="P6" s="2">
        <v>145.19999999999999</v>
      </c>
      <c r="Q6" s="2">
        <v>145.19999999999999</v>
      </c>
      <c r="R6" s="2">
        <v>147.5</v>
      </c>
      <c r="S6" s="2">
        <v>884.98166249999997</v>
      </c>
      <c r="T6" s="2">
        <v>99.5</v>
      </c>
      <c r="U6" s="27"/>
      <c r="V6" s="2">
        <v>99.5</v>
      </c>
      <c r="W6" s="27"/>
      <c r="X6" s="2">
        <v>79.7</v>
      </c>
      <c r="Y6" s="3"/>
    </row>
    <row r="7" spans="1:71" ht="14.4" x14ac:dyDescent="0.3">
      <c r="A7" s="5">
        <v>42125</v>
      </c>
      <c r="B7" s="24">
        <v>1.0042598509052181</v>
      </c>
      <c r="C7" s="24">
        <v>0.98150782361308686</v>
      </c>
      <c r="D7" s="24">
        <v>1.0053191489361699</v>
      </c>
      <c r="E7" s="24">
        <v>1.001078748651564</v>
      </c>
      <c r="F7" s="25">
        <f t="shared" si="2"/>
        <v>0.9942397030374982</v>
      </c>
      <c r="G7" s="25">
        <f>VLOOKUP(YEAR($A7),_HOUT_INDEX_TAB,COLUMN(B5)+1,FALSE)+(VLOOKUP(YEAR($A7)+1,_HOUT_INDEX_TAB,COLUMN(B5)+1,FALSE)-VLOOKUP(YEAR($A7),_HOUT_INDEX_TAB,COLUMN(B5)+1,FALSE))*((MONTH($A7)-1)/12)</f>
        <v>1.0005579993601725</v>
      </c>
      <c r="H7" s="25">
        <f t="shared" si="2"/>
        <v>1.0083834449210503</v>
      </c>
      <c r="I7" s="25">
        <f t="shared" si="2"/>
        <v>0.98585422828271729</v>
      </c>
      <c r="J7" s="25">
        <f t="shared" si="2"/>
        <v>0.98274620013855685</v>
      </c>
      <c r="K7" s="25">
        <f t="shared" si="2"/>
        <v>0.98942336584735813</v>
      </c>
      <c r="L7" s="25">
        <f t="shared" si="2"/>
        <v>0.98903493469957882</v>
      </c>
      <c r="M7" s="2">
        <v>99.3</v>
      </c>
      <c r="N7" s="27">
        <f t="shared" si="3"/>
        <v>97.35294117647058</v>
      </c>
      <c r="O7" s="26">
        <v>1.03125</v>
      </c>
      <c r="P7" s="2">
        <v>145.4</v>
      </c>
      <c r="Q7" s="2">
        <v>145.4</v>
      </c>
      <c r="R7" s="2">
        <v>149.4</v>
      </c>
      <c r="S7" s="2">
        <v>990.58036249999998</v>
      </c>
      <c r="T7" s="2">
        <v>99.9</v>
      </c>
      <c r="U7" s="27"/>
      <c r="V7" s="2">
        <v>99.9</v>
      </c>
      <c r="W7" s="27"/>
      <c r="X7" s="2">
        <v>79.2</v>
      </c>
      <c r="Y7" s="3"/>
    </row>
    <row r="8" spans="1:71" ht="14.4" x14ac:dyDescent="0.3">
      <c r="A8" s="5">
        <v>42156</v>
      </c>
      <c r="B8" s="24">
        <v>1.0053248136315229</v>
      </c>
      <c r="C8" s="24">
        <v>0.97724039829303</v>
      </c>
      <c r="D8" s="24">
        <v>1.0085106382978719</v>
      </c>
      <c r="E8" s="24">
        <v>1.006472491909385</v>
      </c>
      <c r="F8" s="25">
        <f t="shared" si="2"/>
        <v>0.99279962879687278</v>
      </c>
      <c r="G8" s="25">
        <f t="shared" si="2"/>
        <v>1.0006974992002156</v>
      </c>
      <c r="H8" s="25">
        <f t="shared" si="2"/>
        <v>1.0104793061513129</v>
      </c>
      <c r="I8" s="25">
        <f t="shared" si="2"/>
        <v>0.98231778535339664</v>
      </c>
      <c r="J8" s="25">
        <f t="shared" si="2"/>
        <v>0.97843275017319598</v>
      </c>
      <c r="K8" s="25">
        <f t="shared" si="2"/>
        <v>0.98677920730919766</v>
      </c>
      <c r="L8" s="25">
        <f t="shared" si="2"/>
        <v>0.98629366837447352</v>
      </c>
      <c r="M8" s="2">
        <v>98.8</v>
      </c>
      <c r="N8" s="27">
        <f t="shared" si="3"/>
        <v>96.862745098039213</v>
      </c>
      <c r="O8" s="26">
        <v>1.022321428571429</v>
      </c>
      <c r="P8" s="2">
        <v>144.80000000000001</v>
      </c>
      <c r="Q8" s="2">
        <v>144.80000000000001</v>
      </c>
      <c r="R8" s="2">
        <v>149.5</v>
      </c>
      <c r="S8" s="2">
        <v>1040.0109383101101</v>
      </c>
      <c r="T8" s="2">
        <v>99.6</v>
      </c>
      <c r="U8" s="27"/>
      <c r="V8" s="2">
        <v>99.6</v>
      </c>
      <c r="W8" s="27"/>
      <c r="X8" s="2">
        <v>79.7</v>
      </c>
      <c r="Y8" s="3"/>
    </row>
    <row r="9" spans="1:71" ht="14.4" x14ac:dyDescent="0.3">
      <c r="A9" s="5">
        <v>42186</v>
      </c>
      <c r="B9" s="24">
        <v>1.0053248136315229</v>
      </c>
      <c r="C9" s="24">
        <v>0.96870554765291605</v>
      </c>
      <c r="D9" s="24">
        <v>1.0085106382978719</v>
      </c>
      <c r="E9" s="24">
        <v>1.0118662351672061</v>
      </c>
      <c r="F9" s="25">
        <f t="shared" si="2"/>
        <v>0.99135955455624725</v>
      </c>
      <c r="G9" s="25">
        <f t="shared" si="2"/>
        <v>1.0008369990402588</v>
      </c>
      <c r="H9" s="25">
        <f t="shared" si="2"/>
        <v>1.0125751673815755</v>
      </c>
      <c r="I9" s="25">
        <f t="shared" si="2"/>
        <v>0.97878134242407588</v>
      </c>
      <c r="J9" s="25">
        <f t="shared" si="2"/>
        <v>0.97411930020783521</v>
      </c>
      <c r="K9" s="25">
        <f t="shared" si="2"/>
        <v>0.98413504877103719</v>
      </c>
      <c r="L9" s="25">
        <f t="shared" si="2"/>
        <v>0.98355240204936822</v>
      </c>
      <c r="M9" s="2">
        <v>98.3</v>
      </c>
      <c r="N9" s="27">
        <f t="shared" si="3"/>
        <v>96.372549019607845</v>
      </c>
      <c r="O9" s="26">
        <v>1.011160714285714</v>
      </c>
      <c r="P9" s="2">
        <v>146.19999999999999</v>
      </c>
      <c r="Q9" s="2">
        <v>146.19999999999999</v>
      </c>
      <c r="R9" s="2">
        <v>149.4</v>
      </c>
      <c r="S9" s="2">
        <v>959.11782500000004</v>
      </c>
      <c r="T9" s="2">
        <v>99.2</v>
      </c>
      <c r="U9" s="27"/>
      <c r="V9" s="2">
        <v>99.2</v>
      </c>
      <c r="W9" s="27"/>
      <c r="X9" s="2">
        <v>80.099999999999994</v>
      </c>
      <c r="Y9" s="3"/>
    </row>
    <row r="10" spans="1:71" ht="14.4" x14ac:dyDescent="0.3">
      <c r="A10" s="5">
        <v>42217</v>
      </c>
      <c r="B10" s="24">
        <v>1.0053248136315229</v>
      </c>
      <c r="C10" s="24">
        <v>0.96017069701280233</v>
      </c>
      <c r="D10" s="24">
        <v>1.0085106382978719</v>
      </c>
      <c r="E10" s="24">
        <v>1.0129449838187701</v>
      </c>
      <c r="F10" s="25">
        <f t="shared" si="2"/>
        <v>0.98991948031562182</v>
      </c>
      <c r="G10" s="25">
        <f t="shared" si="2"/>
        <v>1.000976498880302</v>
      </c>
      <c r="H10" s="25">
        <f t="shared" si="2"/>
        <v>1.0146710286118381</v>
      </c>
      <c r="I10" s="25">
        <f t="shared" si="2"/>
        <v>0.97524489949475524</v>
      </c>
      <c r="J10" s="25">
        <f t="shared" si="2"/>
        <v>0.96980585024247445</v>
      </c>
      <c r="K10" s="25">
        <f t="shared" si="2"/>
        <v>0.98149089023287683</v>
      </c>
      <c r="L10" s="25">
        <f t="shared" si="2"/>
        <v>0.98081113572426304</v>
      </c>
      <c r="M10" s="2">
        <v>98.5</v>
      </c>
      <c r="N10" s="27">
        <f t="shared" si="3"/>
        <v>96.568627450980387</v>
      </c>
      <c r="O10" s="26">
        <v>0.9988839285714286</v>
      </c>
      <c r="P10" s="2">
        <v>145.1</v>
      </c>
      <c r="Q10" s="2">
        <v>145.1</v>
      </c>
      <c r="R10" s="2">
        <v>149.30000000000001</v>
      </c>
      <c r="S10" s="2">
        <v>962.40845000000002</v>
      </c>
      <c r="T10" s="2">
        <v>99.8</v>
      </c>
      <c r="U10" s="27"/>
      <c r="V10" s="2">
        <v>99.8</v>
      </c>
      <c r="W10" s="27"/>
      <c r="X10" s="2">
        <v>79.3</v>
      </c>
      <c r="Y10" s="3"/>
    </row>
    <row r="11" spans="1:71" ht="14.4" x14ac:dyDescent="0.3">
      <c r="A11" s="5">
        <v>42248</v>
      </c>
      <c r="B11" s="24">
        <v>1.0063897763578269</v>
      </c>
      <c r="C11" s="24">
        <v>0.94879089615931733</v>
      </c>
      <c r="D11" s="24">
        <v>1.0106382978723401</v>
      </c>
      <c r="E11" s="24">
        <v>1.0118662351672061</v>
      </c>
      <c r="F11" s="25">
        <f t="shared" si="2"/>
        <v>0.9884794060749964</v>
      </c>
      <c r="G11" s="25">
        <f t="shared" si="2"/>
        <v>1.0011159987203451</v>
      </c>
      <c r="H11" s="25">
        <f t="shared" si="2"/>
        <v>1.0167668898421007</v>
      </c>
      <c r="I11" s="25">
        <f t="shared" si="2"/>
        <v>0.97170845656543459</v>
      </c>
      <c r="J11" s="25">
        <f t="shared" si="2"/>
        <v>0.96549240027711358</v>
      </c>
      <c r="K11" s="25">
        <f t="shared" si="2"/>
        <v>0.97884673169471637</v>
      </c>
      <c r="L11" s="25">
        <f t="shared" si="2"/>
        <v>0.97806986939915774</v>
      </c>
      <c r="M11" s="2">
        <v>97.9</v>
      </c>
      <c r="N11" s="27">
        <f t="shared" si="3"/>
        <v>95.980392156862749</v>
      </c>
      <c r="O11" s="26">
        <v>0.9799107142857143</v>
      </c>
      <c r="P11" s="2">
        <v>143.30000000000001</v>
      </c>
      <c r="Q11" s="2">
        <v>143.30000000000001</v>
      </c>
      <c r="R11" s="2">
        <v>149.30000000000001</v>
      </c>
      <c r="S11" s="2">
        <v>901.25301818181799</v>
      </c>
      <c r="T11" s="2">
        <v>98.6</v>
      </c>
      <c r="U11" s="27"/>
      <c r="V11" s="2">
        <v>98.6</v>
      </c>
      <c r="W11" s="27"/>
      <c r="X11" s="2">
        <v>78.2</v>
      </c>
      <c r="Y11" s="3"/>
    </row>
    <row r="12" spans="1:71" ht="14.4" x14ac:dyDescent="0.3">
      <c r="A12" s="5">
        <v>42278</v>
      </c>
      <c r="B12" s="24">
        <v>1.0063897763578269</v>
      </c>
      <c r="C12" s="24">
        <v>0.93029871977240408</v>
      </c>
      <c r="D12" s="24">
        <v>1.009574468085106</v>
      </c>
      <c r="E12" s="24">
        <v>1.008629989212513</v>
      </c>
      <c r="F12" s="25">
        <f t="shared" si="2"/>
        <v>0.98703933183437098</v>
      </c>
      <c r="G12" s="25">
        <f t="shared" si="2"/>
        <v>1.0012554985603881</v>
      </c>
      <c r="H12" s="25">
        <f t="shared" si="2"/>
        <v>1.0188627510723633</v>
      </c>
      <c r="I12" s="25">
        <f t="shared" si="2"/>
        <v>0.96817201363611394</v>
      </c>
      <c r="J12" s="25">
        <f t="shared" si="2"/>
        <v>0.96117895031175282</v>
      </c>
      <c r="K12" s="25">
        <f t="shared" si="2"/>
        <v>0.9762025731565559</v>
      </c>
      <c r="L12" s="25">
        <f t="shared" si="2"/>
        <v>0.97532860307405245</v>
      </c>
      <c r="M12" s="2">
        <v>96.6</v>
      </c>
      <c r="N12" s="27">
        <f t="shared" si="3"/>
        <v>94.705882352941174</v>
      </c>
      <c r="O12" s="26">
        <v>0.96763392857142871</v>
      </c>
      <c r="P12" s="2">
        <v>143.30000000000001</v>
      </c>
      <c r="Q12" s="2">
        <v>143.30000000000001</v>
      </c>
      <c r="R12" s="2">
        <v>149.4</v>
      </c>
      <c r="S12" s="2">
        <v>882.42510909090902</v>
      </c>
      <c r="T12" s="2">
        <v>97.7</v>
      </c>
      <c r="U12" s="27"/>
      <c r="V12" s="2">
        <v>97.7</v>
      </c>
      <c r="W12" s="27"/>
      <c r="X12" s="2">
        <v>75.099999999999994</v>
      </c>
      <c r="Y12" s="3"/>
    </row>
    <row r="13" spans="1:71" ht="14.4" x14ac:dyDescent="0.3">
      <c r="A13" s="5">
        <v>42309</v>
      </c>
      <c r="B13" s="24">
        <v>1.007454739084132</v>
      </c>
      <c r="C13" s="24">
        <v>0.91180654338549072</v>
      </c>
      <c r="D13" s="24">
        <v>1.0117021276595739</v>
      </c>
      <c r="E13" s="24">
        <v>1.006472491909385</v>
      </c>
      <c r="F13" s="25">
        <f t="shared" si="2"/>
        <v>0.98559925759374556</v>
      </c>
      <c r="G13" s="25">
        <f t="shared" si="2"/>
        <v>1.0013949984004313</v>
      </c>
      <c r="H13" s="25">
        <f t="shared" si="2"/>
        <v>1.0209586123026257</v>
      </c>
      <c r="I13" s="25">
        <f t="shared" si="2"/>
        <v>0.96463557070679329</v>
      </c>
      <c r="J13" s="25">
        <f t="shared" si="2"/>
        <v>0.95686550034639206</v>
      </c>
      <c r="K13" s="25">
        <f t="shared" si="2"/>
        <v>0.97355841461839543</v>
      </c>
      <c r="L13" s="25">
        <f t="shared" si="2"/>
        <v>0.97258733674894715</v>
      </c>
      <c r="M13" s="2">
        <v>96.1</v>
      </c>
      <c r="N13" s="27">
        <f t="shared" si="3"/>
        <v>94.215686274509807</v>
      </c>
      <c r="O13" s="26">
        <v>0.95647321428571441</v>
      </c>
      <c r="P13" s="2">
        <v>143.30000000000001</v>
      </c>
      <c r="Q13" s="2">
        <v>143.30000000000001</v>
      </c>
      <c r="R13" s="2">
        <v>149.1</v>
      </c>
      <c r="S13" s="2">
        <v>918.05923037338005</v>
      </c>
      <c r="T13" s="2">
        <v>97.1</v>
      </c>
      <c r="U13" s="27"/>
      <c r="V13" s="2">
        <v>97.1</v>
      </c>
      <c r="W13" s="27"/>
      <c r="X13" s="2">
        <v>75.2</v>
      </c>
      <c r="Y13" s="3"/>
    </row>
    <row r="14" spans="1:71" ht="14.4" x14ac:dyDescent="0.3">
      <c r="A14" s="5">
        <v>42339</v>
      </c>
      <c r="B14" s="24">
        <v>1.007454739084132</v>
      </c>
      <c r="C14" s="24">
        <v>0.89615931721194886</v>
      </c>
      <c r="D14" s="24">
        <v>1.0106382978723401</v>
      </c>
      <c r="E14" s="24">
        <v>1.007551240560949</v>
      </c>
      <c r="F14" s="25">
        <f t="shared" si="2"/>
        <v>0.98415918335312003</v>
      </c>
      <c r="G14" s="25">
        <f t="shared" si="2"/>
        <v>1.0015344982404746</v>
      </c>
      <c r="H14" s="25">
        <f t="shared" si="2"/>
        <v>1.0230544735328884</v>
      </c>
      <c r="I14" s="25">
        <f t="shared" si="2"/>
        <v>0.96109912777747253</v>
      </c>
      <c r="J14" s="25">
        <f t="shared" si="2"/>
        <v>0.95255205038103119</v>
      </c>
      <c r="K14" s="25">
        <f t="shared" si="2"/>
        <v>0.97091425608023496</v>
      </c>
      <c r="L14" s="25">
        <f t="shared" si="2"/>
        <v>0.96984607042384186</v>
      </c>
      <c r="M14" s="2">
        <v>97.6</v>
      </c>
      <c r="N14" s="27">
        <f t="shared" si="3"/>
        <v>95.686274509803908</v>
      </c>
      <c r="O14" s="26">
        <v>0.94754464285714302</v>
      </c>
      <c r="P14" s="2">
        <v>143.30000000000001</v>
      </c>
      <c r="Q14" s="2">
        <v>143.30000000000001</v>
      </c>
      <c r="R14" s="2">
        <v>149.1</v>
      </c>
      <c r="S14" s="2">
        <v>947.33058541081402</v>
      </c>
      <c r="T14" s="2">
        <v>97.1</v>
      </c>
      <c r="U14" s="27"/>
      <c r="V14" s="2">
        <v>97.1</v>
      </c>
      <c r="W14" s="27"/>
      <c r="X14" s="2">
        <v>73.7</v>
      </c>
      <c r="Y14" s="3"/>
    </row>
    <row r="15" spans="1:71" ht="14.4" x14ac:dyDescent="0.3">
      <c r="A15" s="5">
        <v>42370</v>
      </c>
      <c r="B15" s="24">
        <v>1.008519701810437</v>
      </c>
      <c r="C15" s="24">
        <v>0.8904694167852063</v>
      </c>
      <c r="D15" s="24">
        <v>1.0127659574468091</v>
      </c>
      <c r="E15" s="24">
        <v>1.006472491909385</v>
      </c>
      <c r="F15" s="25">
        <f t="shared" si="2"/>
        <v>0.9827191091124946</v>
      </c>
      <c r="G15" s="25">
        <f t="shared" si="2"/>
        <v>1.0016739980805176</v>
      </c>
      <c r="H15" s="25">
        <f t="shared" si="2"/>
        <v>1.025150334763151</v>
      </c>
      <c r="I15" s="25">
        <f t="shared" si="2"/>
        <v>0.95756268484815188</v>
      </c>
      <c r="J15" s="25">
        <f t="shared" si="2"/>
        <v>0.94823860041567043</v>
      </c>
      <c r="K15" s="25">
        <f t="shared" si="2"/>
        <v>0.96827009754207449</v>
      </c>
      <c r="L15" s="25">
        <f t="shared" si="2"/>
        <v>0.96710480409873656</v>
      </c>
      <c r="M15" s="2">
        <v>98.4</v>
      </c>
      <c r="N15" s="27">
        <f t="shared" si="3"/>
        <v>96.470588235294116</v>
      </c>
      <c r="O15" s="26">
        <v>0.9319196428571429</v>
      </c>
      <c r="P15" s="2">
        <v>143</v>
      </c>
      <c r="Q15" s="2">
        <v>143</v>
      </c>
      <c r="R15" s="2">
        <v>148.9</v>
      </c>
      <c r="S15" s="2">
        <v>934.43755714285703</v>
      </c>
      <c r="T15" s="2">
        <v>96.3</v>
      </c>
      <c r="U15" s="27"/>
      <c r="V15" s="2">
        <v>96.3</v>
      </c>
      <c r="W15" s="27"/>
      <c r="X15" s="2">
        <v>72.7</v>
      </c>
      <c r="Y15" s="3"/>
    </row>
    <row r="16" spans="1:71" ht="14.4" x14ac:dyDescent="0.3">
      <c r="A16" s="5">
        <v>42401</v>
      </c>
      <c r="B16" s="24">
        <v>1.0063897763578269</v>
      </c>
      <c r="C16" s="24">
        <v>0.87055476529160747</v>
      </c>
      <c r="D16" s="24">
        <v>1.0117021276595739</v>
      </c>
      <c r="E16" s="24">
        <v>1.001078748651564</v>
      </c>
      <c r="F16" s="25">
        <f t="shared" si="2"/>
        <v>0.98934158526248561</v>
      </c>
      <c r="G16" s="25">
        <f t="shared" si="2"/>
        <v>1.0092609269157342</v>
      </c>
      <c r="H16" s="25">
        <f t="shared" si="2"/>
        <v>1.0323942370406787</v>
      </c>
      <c r="I16" s="25">
        <f t="shared" si="2"/>
        <v>0.96310984994090554</v>
      </c>
      <c r="J16" s="25">
        <f t="shared" si="2"/>
        <v>0.95154017287834858</v>
      </c>
      <c r="K16" s="25">
        <f t="shared" si="2"/>
        <v>0.97755222443944123</v>
      </c>
      <c r="L16" s="25">
        <f t="shared" si="2"/>
        <v>0.97742922464712501</v>
      </c>
      <c r="M16" s="2">
        <v>96.8</v>
      </c>
      <c r="N16" s="27">
        <f t="shared" si="3"/>
        <v>94.901960784313715</v>
      </c>
      <c r="O16" s="26">
        <v>0.92857142857142871</v>
      </c>
      <c r="P16" s="2">
        <v>143</v>
      </c>
      <c r="Q16" s="2">
        <v>143</v>
      </c>
      <c r="R16" s="2">
        <v>148.6</v>
      </c>
      <c r="S16" s="2">
        <v>959.26321512501204</v>
      </c>
      <c r="T16" s="2">
        <v>94.4</v>
      </c>
      <c r="U16" s="27"/>
      <c r="V16" s="2">
        <v>94.4</v>
      </c>
      <c r="W16" s="27"/>
      <c r="X16" s="2">
        <v>71.599999999999994</v>
      </c>
      <c r="Y16" s="3"/>
    </row>
    <row r="17" spans="1:25" ht="14.4" x14ac:dyDescent="0.3">
      <c r="A17" s="5">
        <v>42430</v>
      </c>
      <c r="B17" s="24">
        <v>1.0053248136315229</v>
      </c>
      <c r="C17" s="24">
        <v>0.86201991465149364</v>
      </c>
      <c r="D17" s="24">
        <v>1.009574468085106</v>
      </c>
      <c r="E17" s="24">
        <v>1</v>
      </c>
      <c r="F17" s="25">
        <f t="shared" si="2"/>
        <v>0.99596406141247673</v>
      </c>
      <c r="G17" s="25">
        <f t="shared" si="2"/>
        <v>1.016847855750951</v>
      </c>
      <c r="H17" s="25">
        <f t="shared" si="2"/>
        <v>1.0396381393182066</v>
      </c>
      <c r="I17" s="25">
        <f t="shared" si="2"/>
        <v>0.96865701503365909</v>
      </c>
      <c r="J17" s="25">
        <f t="shared" si="2"/>
        <v>0.95484174534102662</v>
      </c>
      <c r="K17" s="25">
        <f t="shared" si="2"/>
        <v>0.98683435133680786</v>
      </c>
      <c r="L17" s="25">
        <f t="shared" si="2"/>
        <v>0.98775364519551356</v>
      </c>
      <c r="M17" s="2">
        <v>94.5</v>
      </c>
      <c r="N17" s="27">
        <f t="shared" si="3"/>
        <v>92.64705882352942</v>
      </c>
      <c r="O17" s="26">
        <v>0.92633928571428581</v>
      </c>
      <c r="P17" s="2">
        <v>140.9</v>
      </c>
      <c r="Q17" s="2">
        <v>140.9</v>
      </c>
      <c r="R17" s="2">
        <v>148.6</v>
      </c>
      <c r="S17" s="2">
        <v>985.50274285714295</v>
      </c>
      <c r="T17" s="2">
        <v>94.1</v>
      </c>
      <c r="U17" s="27"/>
      <c r="V17" s="2">
        <v>94.1</v>
      </c>
      <c r="W17" s="27"/>
      <c r="X17" s="2">
        <v>72.099999999999994</v>
      </c>
      <c r="Y17" s="3"/>
    </row>
    <row r="18" spans="1:25" ht="14.4" x14ac:dyDescent="0.3">
      <c r="A18" s="5">
        <v>42461</v>
      </c>
      <c r="B18" s="24">
        <v>1.0053248136315229</v>
      </c>
      <c r="C18" s="24">
        <v>0.87482219061166433</v>
      </c>
      <c r="D18" s="24">
        <v>1.0106382978723401</v>
      </c>
      <c r="E18" s="24">
        <v>0.99892125134843568</v>
      </c>
      <c r="F18" s="25">
        <f t="shared" si="2"/>
        <v>1.0025865375624678</v>
      </c>
      <c r="G18" s="25">
        <f t="shared" si="2"/>
        <v>1.0244347845861679</v>
      </c>
      <c r="H18" s="25">
        <f t="shared" si="2"/>
        <v>1.0468820415957343</v>
      </c>
      <c r="I18" s="25">
        <f t="shared" si="2"/>
        <v>0.97420418012641274</v>
      </c>
      <c r="J18" s="25">
        <f t="shared" si="2"/>
        <v>0.95814331780370476</v>
      </c>
      <c r="K18" s="25">
        <f t="shared" si="2"/>
        <v>0.9961164782341746</v>
      </c>
      <c r="L18" s="25">
        <f t="shared" si="2"/>
        <v>0.99807806574390201</v>
      </c>
      <c r="M18" s="2">
        <v>92.8</v>
      </c>
      <c r="N18" s="27">
        <f t="shared" si="3"/>
        <v>90.980392156862749</v>
      </c>
      <c r="O18" s="26">
        <v>0.91964285714285732</v>
      </c>
      <c r="P18" s="2">
        <v>140.9</v>
      </c>
      <c r="Q18" s="2">
        <v>140.9</v>
      </c>
      <c r="R18" s="2">
        <v>148.6</v>
      </c>
      <c r="S18" s="2">
        <v>1022.999</v>
      </c>
      <c r="T18" s="2">
        <v>94.5</v>
      </c>
      <c r="U18" s="27"/>
      <c r="V18" s="2">
        <v>94.5</v>
      </c>
      <c r="W18" s="27"/>
      <c r="X18" s="2">
        <v>71.400000000000006</v>
      </c>
      <c r="Y18" s="3"/>
    </row>
    <row r="19" spans="1:25" ht="14.4" x14ac:dyDescent="0.3">
      <c r="A19" s="5">
        <v>42491</v>
      </c>
      <c r="B19" s="24">
        <v>1.0053248136315229</v>
      </c>
      <c r="C19" s="24">
        <v>0.90042674253200572</v>
      </c>
      <c r="D19" s="24">
        <v>1.0106382978723401</v>
      </c>
      <c r="E19" s="24">
        <v>1.001078748651564</v>
      </c>
      <c r="F19" s="25">
        <f t="shared" si="2"/>
        <v>1.0092090137124587</v>
      </c>
      <c r="G19" s="25">
        <f t="shared" si="2"/>
        <v>1.0320217134213845</v>
      </c>
      <c r="H19" s="25">
        <f t="shared" si="2"/>
        <v>1.054125943873262</v>
      </c>
      <c r="I19" s="25">
        <f t="shared" si="2"/>
        <v>0.9797513452191664</v>
      </c>
      <c r="J19" s="25">
        <f t="shared" si="2"/>
        <v>0.96144489026638291</v>
      </c>
      <c r="K19" s="25">
        <f t="shared" si="2"/>
        <v>1.0053986051315413</v>
      </c>
      <c r="L19" s="25">
        <f t="shared" si="2"/>
        <v>1.0084024862922905</v>
      </c>
      <c r="M19" s="2">
        <v>92.5</v>
      </c>
      <c r="N19" s="27">
        <f t="shared" si="3"/>
        <v>90.686274509803923</v>
      </c>
      <c r="O19" s="26">
        <v>0.9185267857142857</v>
      </c>
      <c r="P19" s="2">
        <v>140.9</v>
      </c>
      <c r="Q19" s="2">
        <v>140.9</v>
      </c>
      <c r="R19" s="2">
        <v>148.6</v>
      </c>
      <c r="S19" s="2">
        <v>989.574153504538</v>
      </c>
      <c r="T19" s="2">
        <v>95</v>
      </c>
      <c r="U19" s="27"/>
      <c r="V19" s="2">
        <v>95</v>
      </c>
      <c r="W19" s="27"/>
      <c r="X19" s="2">
        <v>71.5</v>
      </c>
      <c r="Y19" s="3"/>
    </row>
    <row r="20" spans="1:25" ht="14.4" x14ac:dyDescent="0.3">
      <c r="A20" s="5">
        <v>42522</v>
      </c>
      <c r="B20" s="24">
        <v>1.0042598509052181</v>
      </c>
      <c r="C20" s="24">
        <v>0.91749644381223328</v>
      </c>
      <c r="D20" s="24">
        <v>1.0117021276595739</v>
      </c>
      <c r="E20" s="24">
        <v>1.001078748651564</v>
      </c>
      <c r="F20" s="25">
        <f t="shared" si="2"/>
        <v>1.0158314898624499</v>
      </c>
      <c r="G20" s="25">
        <f t="shared" si="2"/>
        <v>1.0396086422566011</v>
      </c>
      <c r="H20" s="25">
        <f t="shared" si="2"/>
        <v>1.0613698461507899</v>
      </c>
      <c r="I20" s="25">
        <f t="shared" si="2"/>
        <v>0.98529851031192006</v>
      </c>
      <c r="J20" s="25">
        <f t="shared" si="2"/>
        <v>0.96474646272906095</v>
      </c>
      <c r="K20" s="25">
        <f t="shared" si="2"/>
        <v>1.014680732028908</v>
      </c>
      <c r="L20" s="25">
        <f t="shared" si="2"/>
        <v>1.018726906840679</v>
      </c>
      <c r="M20" s="2">
        <v>88.9</v>
      </c>
      <c r="N20" s="27">
        <f t="shared" si="3"/>
        <v>87.156862745098039</v>
      </c>
      <c r="O20" s="26">
        <v>0.9207589285714286</v>
      </c>
      <c r="P20" s="2">
        <v>140.9</v>
      </c>
      <c r="Q20" s="2">
        <v>140.9</v>
      </c>
      <c r="R20" s="2">
        <v>148.6</v>
      </c>
      <c r="S20" s="2">
        <v>1015.29507231268</v>
      </c>
      <c r="T20" s="2">
        <v>95.5</v>
      </c>
      <c r="U20" s="27"/>
      <c r="V20" s="2">
        <v>95.5</v>
      </c>
      <c r="W20" s="27"/>
      <c r="X20" s="2">
        <v>73.3</v>
      </c>
      <c r="Y20" s="3"/>
    </row>
    <row r="21" spans="1:25" ht="14.4" x14ac:dyDescent="0.3">
      <c r="A21" s="5">
        <v>42552</v>
      </c>
      <c r="B21" s="24">
        <v>1.0063897763578269</v>
      </c>
      <c r="C21" s="24">
        <v>0.92176386913229014</v>
      </c>
      <c r="D21" s="24">
        <v>1.0127659574468091</v>
      </c>
      <c r="E21" s="24">
        <v>1.001078748651564</v>
      </c>
      <c r="F21" s="25">
        <f t="shared" si="2"/>
        <v>1.022453966012441</v>
      </c>
      <c r="G21" s="25">
        <f t="shared" si="2"/>
        <v>1.0471955710918179</v>
      </c>
      <c r="H21" s="25">
        <f t="shared" si="2"/>
        <v>1.0686137484283176</v>
      </c>
      <c r="I21" s="25">
        <f t="shared" si="2"/>
        <v>0.99084567540467372</v>
      </c>
      <c r="J21" s="25">
        <f t="shared" si="2"/>
        <v>0.9680480351917391</v>
      </c>
      <c r="K21" s="25">
        <f t="shared" si="2"/>
        <v>1.0239628589262748</v>
      </c>
      <c r="L21" s="25">
        <f t="shared" si="2"/>
        <v>1.0290513273890673</v>
      </c>
      <c r="M21" s="2">
        <v>89</v>
      </c>
      <c r="N21" s="27">
        <f t="shared" si="3"/>
        <v>87.254901960784309</v>
      </c>
      <c r="O21" s="26">
        <v>0.92522321428571441</v>
      </c>
      <c r="P21" s="2">
        <v>140.9</v>
      </c>
      <c r="Q21" s="2">
        <v>140.9</v>
      </c>
      <c r="R21" s="2">
        <v>147.69999999999999</v>
      </c>
      <c r="S21" s="2">
        <v>1091.6292249999999</v>
      </c>
      <c r="T21" s="2">
        <v>95.5</v>
      </c>
      <c r="U21" s="27"/>
      <c r="V21" s="2">
        <v>95.5</v>
      </c>
      <c r="W21" s="27"/>
      <c r="X21" s="2">
        <v>73.099999999999994</v>
      </c>
      <c r="Y21" s="3"/>
    </row>
    <row r="22" spans="1:25" ht="14.4" x14ac:dyDescent="0.3">
      <c r="A22" s="5">
        <v>42583</v>
      </c>
      <c r="B22" s="24">
        <v>1.0063897763578269</v>
      </c>
      <c r="C22" s="24">
        <v>0.93029871977240408</v>
      </c>
      <c r="D22" s="24">
        <v>1.0127659574468091</v>
      </c>
      <c r="E22" s="24">
        <v>1</v>
      </c>
      <c r="F22" s="25">
        <f t="shared" si="2"/>
        <v>1.0290764421624319</v>
      </c>
      <c r="G22" s="25">
        <f t="shared" si="2"/>
        <v>1.0547824999270348</v>
      </c>
      <c r="H22" s="25">
        <f t="shared" si="2"/>
        <v>1.0758576507058453</v>
      </c>
      <c r="I22" s="25">
        <f t="shared" si="2"/>
        <v>0.99639284049742727</v>
      </c>
      <c r="J22" s="25">
        <f t="shared" si="2"/>
        <v>0.97134960765441725</v>
      </c>
      <c r="K22" s="25">
        <f t="shared" si="2"/>
        <v>1.0332449858236414</v>
      </c>
      <c r="L22" s="25">
        <f t="shared" si="2"/>
        <v>1.0393757479374559</v>
      </c>
      <c r="M22" s="2">
        <v>88.8</v>
      </c>
      <c r="N22" s="27">
        <f t="shared" si="3"/>
        <v>87.058823529411768</v>
      </c>
      <c r="O22" s="26">
        <v>0.9241071428571429</v>
      </c>
      <c r="P22" s="2">
        <v>140.9</v>
      </c>
      <c r="Q22" s="2">
        <v>140.9</v>
      </c>
      <c r="R22" s="2">
        <v>148.4</v>
      </c>
      <c r="S22" s="2">
        <v>1095.9336142857101</v>
      </c>
      <c r="T22" s="2">
        <v>95.5</v>
      </c>
      <c r="U22" s="27"/>
      <c r="V22" s="2">
        <v>95.5</v>
      </c>
      <c r="W22" s="27"/>
      <c r="X22" s="2">
        <v>71.599999999999994</v>
      </c>
      <c r="Y22" s="3"/>
    </row>
    <row r="23" spans="1:25" ht="14.4" x14ac:dyDescent="0.3">
      <c r="A23" s="5">
        <v>42614</v>
      </c>
      <c r="B23" s="24">
        <v>1.0063897763578269</v>
      </c>
      <c r="C23" s="24">
        <v>0.93598862019914653</v>
      </c>
      <c r="D23" s="24">
        <v>1.013829787234042</v>
      </c>
      <c r="E23" s="24">
        <v>1</v>
      </c>
      <c r="F23" s="25">
        <f t="shared" si="2"/>
        <v>1.035698918312423</v>
      </c>
      <c r="G23" s="25">
        <f t="shared" si="2"/>
        <v>1.0623694287622514</v>
      </c>
      <c r="H23" s="25">
        <f t="shared" si="2"/>
        <v>1.0831015529833732</v>
      </c>
      <c r="I23" s="25">
        <f t="shared" si="2"/>
        <v>1.001940005590181</v>
      </c>
      <c r="J23" s="25">
        <f t="shared" si="2"/>
        <v>0.97465118011709528</v>
      </c>
      <c r="K23" s="25">
        <f t="shared" si="2"/>
        <v>1.0425271127210083</v>
      </c>
      <c r="L23" s="25">
        <f t="shared" si="2"/>
        <v>1.0497001684858445</v>
      </c>
      <c r="M23" s="2">
        <v>88.6</v>
      </c>
      <c r="N23" s="27">
        <f t="shared" si="3"/>
        <v>86.862745098039213</v>
      </c>
      <c r="O23" s="26">
        <v>0.9241071428571429</v>
      </c>
      <c r="P23" s="2">
        <v>140.30000000000001</v>
      </c>
      <c r="Q23" s="2">
        <v>140.30000000000001</v>
      </c>
      <c r="R23" s="2">
        <v>148.4</v>
      </c>
      <c r="S23" s="2">
        <v>1061.79817</v>
      </c>
      <c r="T23" s="2">
        <v>96.7</v>
      </c>
      <c r="U23" s="27"/>
      <c r="V23" s="2">
        <v>96.7</v>
      </c>
      <c r="W23" s="27"/>
      <c r="X23" s="2">
        <v>70.400000000000006</v>
      </c>
      <c r="Y23" s="3"/>
    </row>
    <row r="24" spans="1:25" ht="14.4" x14ac:dyDescent="0.3">
      <c r="A24" s="5">
        <v>42644</v>
      </c>
      <c r="B24" s="24">
        <v>1.0063897763578269</v>
      </c>
      <c r="C24" s="24">
        <v>0.93741109530583222</v>
      </c>
      <c r="D24" s="24">
        <v>1.013829787234042</v>
      </c>
      <c r="E24" s="24">
        <v>1</v>
      </c>
      <c r="F24" s="25">
        <f t="shared" si="2"/>
        <v>1.0423213944624141</v>
      </c>
      <c r="G24" s="25">
        <f t="shared" si="2"/>
        <v>1.069956357597468</v>
      </c>
      <c r="H24" s="25">
        <f t="shared" si="2"/>
        <v>1.0903454552609009</v>
      </c>
      <c r="I24" s="25">
        <f t="shared" si="2"/>
        <v>1.0074871706829345</v>
      </c>
      <c r="J24" s="25">
        <f t="shared" si="2"/>
        <v>0.97795275257977343</v>
      </c>
      <c r="K24" s="25">
        <f t="shared" si="2"/>
        <v>1.0518092396183749</v>
      </c>
      <c r="L24" s="25">
        <f t="shared" si="2"/>
        <v>1.0600245890342328</v>
      </c>
      <c r="M24" s="2">
        <v>89.8</v>
      </c>
      <c r="N24" s="27">
        <f t="shared" si="3"/>
        <v>88.039215686274503</v>
      </c>
      <c r="O24" s="26">
        <v>0.92857142857142871</v>
      </c>
      <c r="P24" s="2">
        <v>140.30000000000001</v>
      </c>
      <c r="Q24" s="2">
        <v>140.30000000000001</v>
      </c>
      <c r="R24" s="2">
        <v>148.4</v>
      </c>
      <c r="S24" s="2">
        <v>1022.6541282374</v>
      </c>
      <c r="T24" s="2">
        <v>97.2</v>
      </c>
      <c r="U24" s="27"/>
      <c r="V24" s="2">
        <v>97.2</v>
      </c>
      <c r="W24" s="27"/>
      <c r="X24" s="2">
        <v>69.099999999999994</v>
      </c>
      <c r="Y24" s="3"/>
    </row>
    <row r="25" spans="1:25" ht="14.4" x14ac:dyDescent="0.3">
      <c r="A25" s="5">
        <v>42675</v>
      </c>
      <c r="B25" s="24">
        <v>1.007454739084132</v>
      </c>
      <c r="C25" s="24">
        <v>0.9502133712660028</v>
      </c>
      <c r="D25" s="24">
        <v>1.013829787234042</v>
      </c>
      <c r="E25" s="24">
        <v>1.001078748651564</v>
      </c>
      <c r="F25" s="25">
        <f t="shared" si="2"/>
        <v>1.0489438706124052</v>
      </c>
      <c r="G25" s="25">
        <f t="shared" si="2"/>
        <v>1.0775432864326848</v>
      </c>
      <c r="H25" s="25">
        <f t="shared" si="2"/>
        <v>1.0975893575384286</v>
      </c>
      <c r="I25" s="25">
        <f t="shared" si="2"/>
        <v>1.0130343357756881</v>
      </c>
      <c r="J25" s="25">
        <f t="shared" si="2"/>
        <v>0.98125432504245158</v>
      </c>
      <c r="K25" s="25">
        <f t="shared" si="2"/>
        <v>1.0610913665157415</v>
      </c>
      <c r="L25" s="25">
        <f t="shared" si="2"/>
        <v>1.0703490095826214</v>
      </c>
      <c r="M25" s="2">
        <v>89.4</v>
      </c>
      <c r="N25" s="27">
        <f t="shared" si="3"/>
        <v>87.64705882352942</v>
      </c>
      <c r="O25" s="26">
        <v>0.93526785714285721</v>
      </c>
      <c r="P25" s="2">
        <v>140.30000000000001</v>
      </c>
      <c r="Q25" s="2">
        <v>140.30000000000001</v>
      </c>
      <c r="R25" s="2">
        <v>148.1</v>
      </c>
      <c r="S25" s="2">
        <v>1019.24007870458</v>
      </c>
      <c r="T25" s="2">
        <v>98.5</v>
      </c>
      <c r="U25" s="27"/>
      <c r="V25" s="2">
        <v>98.5</v>
      </c>
      <c r="W25" s="27"/>
      <c r="X25" s="2">
        <v>69</v>
      </c>
      <c r="Y25" s="3"/>
    </row>
    <row r="26" spans="1:25" ht="14.4" x14ac:dyDescent="0.3">
      <c r="A26" s="5">
        <v>42705</v>
      </c>
      <c r="B26" s="24">
        <v>1.008519701810437</v>
      </c>
      <c r="C26" s="24">
        <v>0.97012802275960175</v>
      </c>
      <c r="D26" s="24">
        <v>1.009574468085106</v>
      </c>
      <c r="E26" s="24">
        <v>1.002157497303128</v>
      </c>
      <c r="F26" s="25">
        <f t="shared" si="2"/>
        <v>1.0555663467623961</v>
      </c>
      <c r="G26" s="25">
        <f t="shared" si="2"/>
        <v>1.0851302152679017</v>
      </c>
      <c r="H26" s="25">
        <f t="shared" si="2"/>
        <v>1.1048332598159565</v>
      </c>
      <c r="I26" s="25">
        <f t="shared" si="2"/>
        <v>1.0185815008684418</v>
      </c>
      <c r="J26" s="25">
        <f t="shared" si="2"/>
        <v>0.98455589750512962</v>
      </c>
      <c r="K26" s="25">
        <f t="shared" si="2"/>
        <v>1.0703734934131084</v>
      </c>
      <c r="L26" s="25">
        <f t="shared" si="2"/>
        <v>1.0806734301310097</v>
      </c>
      <c r="M26" s="2">
        <v>89.7</v>
      </c>
      <c r="N26" s="27">
        <f t="shared" si="3"/>
        <v>87.941176470588232</v>
      </c>
      <c r="O26" s="26">
        <v>0.9441964285714286</v>
      </c>
      <c r="P26" s="2">
        <v>140.80000000000001</v>
      </c>
      <c r="Q26" s="2">
        <v>140.80000000000001</v>
      </c>
      <c r="R26" s="2">
        <v>148.5</v>
      </c>
      <c r="S26" s="2">
        <v>1007.3706269634999</v>
      </c>
      <c r="T26" s="2">
        <v>98.2</v>
      </c>
      <c r="U26" s="27"/>
      <c r="V26" s="2">
        <v>98.2</v>
      </c>
      <c r="W26" s="27"/>
      <c r="X26" s="2">
        <v>68.900000000000006</v>
      </c>
      <c r="Y26" s="3"/>
    </row>
    <row r="27" spans="1:25" ht="14.4" x14ac:dyDescent="0.3">
      <c r="A27" s="5">
        <v>42736</v>
      </c>
      <c r="B27" s="24">
        <v>1.009584664536741</v>
      </c>
      <c r="C27" s="24">
        <v>1.0142247510668561</v>
      </c>
      <c r="D27" s="24">
        <v>1.009574468085106</v>
      </c>
      <c r="E27" s="24">
        <v>1.002157497303128</v>
      </c>
      <c r="F27" s="25">
        <f t="shared" si="2"/>
        <v>1.0621888229123873</v>
      </c>
      <c r="G27" s="25">
        <f t="shared" si="2"/>
        <v>1.0927171441031183</v>
      </c>
      <c r="H27" s="25">
        <f t="shared" si="2"/>
        <v>1.1120771620934842</v>
      </c>
      <c r="I27" s="25">
        <f t="shared" si="2"/>
        <v>1.0241286659611955</v>
      </c>
      <c r="J27" s="25">
        <f t="shared" si="2"/>
        <v>0.98785746996780777</v>
      </c>
      <c r="K27" s="25">
        <f t="shared" si="2"/>
        <v>1.079655620310475</v>
      </c>
      <c r="L27" s="25">
        <f t="shared" si="2"/>
        <v>1.0909978506793983</v>
      </c>
      <c r="M27" s="2">
        <v>91.2</v>
      </c>
      <c r="N27" s="27">
        <f t="shared" si="3"/>
        <v>89.411764705882362</v>
      </c>
      <c r="O27" s="26">
        <v>0.95647321428571441</v>
      </c>
      <c r="P27" s="2">
        <v>140.80000000000001</v>
      </c>
      <c r="Q27" s="2">
        <v>140.80000000000001</v>
      </c>
      <c r="R27" s="2">
        <v>148.6</v>
      </c>
      <c r="S27" s="2">
        <v>1027.90333231676</v>
      </c>
      <c r="T27" s="2">
        <v>97.6</v>
      </c>
      <c r="U27" s="27"/>
      <c r="V27" s="2">
        <v>97.6</v>
      </c>
      <c r="W27" s="27"/>
      <c r="X27" s="2">
        <v>68.400000000000006</v>
      </c>
      <c r="Y27" s="3"/>
    </row>
    <row r="28" spans="1:25" ht="14.4" x14ac:dyDescent="0.3">
      <c r="A28" s="5">
        <v>42767</v>
      </c>
      <c r="B28" s="24">
        <v>1.0106496272630461</v>
      </c>
      <c r="C28" s="24">
        <v>1.0426742532005691</v>
      </c>
      <c r="D28" s="24">
        <v>1.0117021276595739</v>
      </c>
      <c r="E28" s="24">
        <v>1.0043149946062571</v>
      </c>
      <c r="F28" s="25">
        <f t="shared" si="2"/>
        <v>1.0688112990623784</v>
      </c>
      <c r="G28" s="25">
        <f t="shared" si="2"/>
        <v>1.1003040729383349</v>
      </c>
      <c r="H28" s="25">
        <f t="shared" si="2"/>
        <v>1.1193210643710119</v>
      </c>
      <c r="I28" s="25">
        <f t="shared" si="2"/>
        <v>1.0296758310539491</v>
      </c>
      <c r="J28" s="25">
        <f t="shared" si="2"/>
        <v>0.99115904243048591</v>
      </c>
      <c r="K28" s="25">
        <f t="shared" si="2"/>
        <v>1.0889377472078416</v>
      </c>
      <c r="L28" s="25">
        <f t="shared" si="2"/>
        <v>1.1013222712277868</v>
      </c>
      <c r="M28" s="2">
        <v>90.3</v>
      </c>
      <c r="N28" s="27">
        <f t="shared" si="3"/>
        <v>88.529411764705884</v>
      </c>
      <c r="O28" s="26">
        <v>0.96428571428571441</v>
      </c>
      <c r="P28" s="2">
        <v>140.80000000000001</v>
      </c>
      <c r="Q28" s="2">
        <v>140.80000000000001</v>
      </c>
      <c r="R28" s="2">
        <v>148.19999999999999</v>
      </c>
      <c r="S28" s="2">
        <v>1029.78071774559</v>
      </c>
      <c r="T28" s="2">
        <v>97.9</v>
      </c>
      <c r="U28" s="27"/>
      <c r="V28" s="2">
        <v>97.9</v>
      </c>
      <c r="W28" s="27"/>
      <c r="X28" s="2">
        <v>69.2</v>
      </c>
      <c r="Y28" s="3"/>
    </row>
    <row r="29" spans="1:25" ht="14.4" x14ac:dyDescent="0.3">
      <c r="A29" s="5">
        <v>42795</v>
      </c>
      <c r="B29" s="24">
        <v>1.0106496272630461</v>
      </c>
      <c r="C29" s="24">
        <v>1.05547652916074</v>
      </c>
      <c r="D29" s="24">
        <v>1.0117021276595739</v>
      </c>
      <c r="E29" s="24">
        <v>1.007551240560949</v>
      </c>
      <c r="F29" s="25">
        <f t="shared" si="2"/>
        <v>1.0754337752123693</v>
      </c>
      <c r="G29" s="25">
        <f t="shared" si="2"/>
        <v>1.1078910017735517</v>
      </c>
      <c r="H29" s="25">
        <f t="shared" si="2"/>
        <v>1.1265649666485396</v>
      </c>
      <c r="I29" s="25">
        <f t="shared" si="2"/>
        <v>1.0352229961467028</v>
      </c>
      <c r="J29" s="25">
        <f t="shared" si="2"/>
        <v>0.99446061489316395</v>
      </c>
      <c r="K29" s="25">
        <f t="shared" si="2"/>
        <v>1.0982198741052085</v>
      </c>
      <c r="L29" s="25">
        <f t="shared" si="2"/>
        <v>1.1116466917761751</v>
      </c>
      <c r="M29" s="2">
        <v>93.3</v>
      </c>
      <c r="N29" s="27">
        <f t="shared" si="3"/>
        <v>91.470588235294116</v>
      </c>
      <c r="O29" s="26">
        <v>0.98102678571428581</v>
      </c>
      <c r="P29" s="2">
        <v>140.80000000000001</v>
      </c>
      <c r="Q29" s="2">
        <v>140.80000000000001</v>
      </c>
      <c r="R29" s="2">
        <v>148.30000000000001</v>
      </c>
      <c r="S29" s="2">
        <v>1059.6526152474701</v>
      </c>
      <c r="T29" s="2">
        <v>100.8</v>
      </c>
      <c r="U29" s="27"/>
      <c r="V29" s="2">
        <v>100.8</v>
      </c>
      <c r="W29" s="27"/>
      <c r="X29" s="2">
        <v>70.599999999999994</v>
      </c>
      <c r="Y29" s="3"/>
    </row>
    <row r="30" spans="1:25" ht="14.4" x14ac:dyDescent="0.3">
      <c r="A30" s="5">
        <v>42826</v>
      </c>
      <c r="B30" s="24">
        <v>1.01171458998935</v>
      </c>
      <c r="C30" s="24">
        <v>1.06827880512091</v>
      </c>
      <c r="D30" s="24">
        <v>1.0117021276595739</v>
      </c>
      <c r="E30" s="24">
        <v>1.0097087378640781</v>
      </c>
      <c r="F30" s="25">
        <f t="shared" si="2"/>
        <v>1.0820562513623604</v>
      </c>
      <c r="G30" s="25">
        <f t="shared" si="2"/>
        <v>1.1154779306087685</v>
      </c>
      <c r="H30" s="25">
        <f t="shared" si="2"/>
        <v>1.1338088689260675</v>
      </c>
      <c r="I30" s="25">
        <f t="shared" si="2"/>
        <v>1.0407701612394564</v>
      </c>
      <c r="J30" s="25">
        <f t="shared" si="2"/>
        <v>0.9977621873558421</v>
      </c>
      <c r="K30" s="25">
        <f t="shared" si="2"/>
        <v>1.1075020010025751</v>
      </c>
      <c r="L30" s="25">
        <f t="shared" si="2"/>
        <v>1.1219711123245637</v>
      </c>
      <c r="M30" s="2">
        <v>94.9</v>
      </c>
      <c r="N30" s="27">
        <f t="shared" si="3"/>
        <v>93.039215686274517</v>
      </c>
      <c r="O30" s="26">
        <v>0.99330357142857151</v>
      </c>
      <c r="P30" s="2">
        <v>143.30000000000001</v>
      </c>
      <c r="Q30" s="2">
        <v>143.30000000000001</v>
      </c>
      <c r="R30" s="2">
        <v>148.4</v>
      </c>
      <c r="S30" s="2">
        <v>988.38642000000004</v>
      </c>
      <c r="T30" s="2">
        <v>101.8</v>
      </c>
      <c r="U30" s="27"/>
      <c r="V30" s="2">
        <v>101.8</v>
      </c>
      <c r="W30" s="27"/>
      <c r="X30" s="2">
        <v>71.7</v>
      </c>
      <c r="Y30" s="3"/>
    </row>
    <row r="31" spans="1:25" ht="14.4" x14ac:dyDescent="0.3">
      <c r="A31" s="5">
        <v>42856</v>
      </c>
      <c r="B31" s="24">
        <v>1.0127795527156549</v>
      </c>
      <c r="C31" s="24">
        <v>1.06827880512091</v>
      </c>
      <c r="D31" s="24">
        <v>1.0117021276595739</v>
      </c>
      <c r="E31" s="24">
        <v>1.008629989212513</v>
      </c>
      <c r="F31" s="25">
        <f t="shared" si="2"/>
        <v>1.0886787275123515</v>
      </c>
      <c r="G31" s="25">
        <f t="shared" si="2"/>
        <v>1.1230648594439852</v>
      </c>
      <c r="H31" s="25">
        <f t="shared" si="2"/>
        <v>1.1410527712035952</v>
      </c>
      <c r="I31" s="25">
        <f t="shared" si="2"/>
        <v>1.0463173263322101</v>
      </c>
      <c r="J31" s="25">
        <f t="shared" si="2"/>
        <v>1.0010637598185201</v>
      </c>
      <c r="K31" s="25">
        <f t="shared" si="2"/>
        <v>1.1167841278999417</v>
      </c>
      <c r="L31" s="25">
        <f t="shared" si="2"/>
        <v>1.132295532872952</v>
      </c>
      <c r="M31" s="2">
        <v>95.4</v>
      </c>
      <c r="N31" s="27">
        <f t="shared" si="3"/>
        <v>93.529411764705884</v>
      </c>
      <c r="O31" s="26">
        <v>0.99553571428571441</v>
      </c>
      <c r="P31" s="2">
        <v>143.30000000000001</v>
      </c>
      <c r="Q31" s="2">
        <v>143.30000000000001</v>
      </c>
      <c r="R31" s="2">
        <v>148.5</v>
      </c>
      <c r="S31" s="2">
        <v>1022.24741281243</v>
      </c>
      <c r="T31" s="2">
        <v>102.2</v>
      </c>
      <c r="U31" s="27"/>
      <c r="V31" s="2">
        <v>102.2</v>
      </c>
      <c r="W31" s="27"/>
      <c r="X31" s="2">
        <v>73.099999999999994</v>
      </c>
      <c r="Y31" s="3"/>
    </row>
    <row r="32" spans="1:25" ht="14.4" x14ac:dyDescent="0.3">
      <c r="A32" s="5">
        <v>42887</v>
      </c>
      <c r="B32" s="24">
        <v>1.0127795527156549</v>
      </c>
      <c r="C32" s="24">
        <v>1.0625889046941679</v>
      </c>
      <c r="D32" s="24">
        <v>1.013829787234042</v>
      </c>
      <c r="E32" s="24">
        <v>1.007551240560949</v>
      </c>
      <c r="F32" s="25">
        <f t="shared" si="2"/>
        <v>1.0953012036623426</v>
      </c>
      <c r="G32" s="25">
        <f t="shared" si="2"/>
        <v>1.1306517882792018</v>
      </c>
      <c r="H32" s="25">
        <f t="shared" si="2"/>
        <v>1.1482966734811229</v>
      </c>
      <c r="I32" s="25">
        <f t="shared" si="2"/>
        <v>1.0518644914249637</v>
      </c>
      <c r="J32" s="25">
        <f t="shared" si="2"/>
        <v>1.0043653322811983</v>
      </c>
      <c r="K32" s="25">
        <f t="shared" si="2"/>
        <v>1.1260662547973086</v>
      </c>
      <c r="L32" s="25">
        <f t="shared" si="2"/>
        <v>1.1426199534213406</v>
      </c>
      <c r="M32" s="2">
        <v>95.8</v>
      </c>
      <c r="N32" s="27">
        <f t="shared" si="3"/>
        <v>93.921568627450981</v>
      </c>
      <c r="O32" s="26">
        <v>0.9877232142857143</v>
      </c>
      <c r="P32" s="2">
        <v>143.30000000000001</v>
      </c>
      <c r="Q32" s="2">
        <v>143.30000000000001</v>
      </c>
      <c r="R32" s="2">
        <v>148.5</v>
      </c>
      <c r="S32" s="2">
        <v>1065.82058742</v>
      </c>
      <c r="T32" s="2">
        <v>101.7</v>
      </c>
      <c r="U32" s="27"/>
      <c r="V32" s="2">
        <v>101.7</v>
      </c>
      <c r="W32" s="27"/>
      <c r="X32" s="2">
        <v>73.599999999999994</v>
      </c>
      <c r="Y32" s="3"/>
    </row>
    <row r="33" spans="1:25" ht="14.4" x14ac:dyDescent="0.3">
      <c r="A33" s="5">
        <v>42917</v>
      </c>
      <c r="B33" s="24">
        <v>1.0127795527156549</v>
      </c>
      <c r="C33" s="24">
        <v>1.0597439544807969</v>
      </c>
      <c r="D33" s="24">
        <v>1.0159574468085111</v>
      </c>
      <c r="E33" s="24">
        <v>1.007551240560949</v>
      </c>
      <c r="F33" s="25">
        <f t="shared" si="2"/>
        <v>1.1019236798123337</v>
      </c>
      <c r="G33" s="25">
        <f t="shared" si="2"/>
        <v>1.1382387171144186</v>
      </c>
      <c r="H33" s="25">
        <f t="shared" si="2"/>
        <v>1.1555405757586508</v>
      </c>
      <c r="I33" s="25">
        <f t="shared" si="2"/>
        <v>1.0574116565177172</v>
      </c>
      <c r="J33" s="25">
        <f t="shared" si="2"/>
        <v>1.0076669047438764</v>
      </c>
      <c r="K33" s="25">
        <f t="shared" si="2"/>
        <v>1.1353483816946752</v>
      </c>
      <c r="L33" s="25">
        <f t="shared" si="2"/>
        <v>1.1529443739697292</v>
      </c>
      <c r="M33" s="2">
        <v>96.4</v>
      </c>
      <c r="N33" s="27">
        <f t="shared" si="3"/>
        <v>94.509803921568633</v>
      </c>
      <c r="O33" s="26">
        <v>0.98549107142857151</v>
      </c>
      <c r="P33" s="2">
        <v>143.30000000000001</v>
      </c>
      <c r="Q33" s="2">
        <v>143.30000000000001</v>
      </c>
      <c r="R33" s="2">
        <v>148.4</v>
      </c>
      <c r="S33" s="2">
        <v>1089.9653000000001</v>
      </c>
      <c r="T33" s="2">
        <v>100.6</v>
      </c>
      <c r="U33" s="27"/>
      <c r="V33" s="2">
        <v>100.6</v>
      </c>
      <c r="W33" s="27"/>
      <c r="X33" s="2">
        <v>74.5</v>
      </c>
      <c r="Y33" s="3"/>
    </row>
    <row r="34" spans="1:25" ht="14.4" x14ac:dyDescent="0.3">
      <c r="A34" s="5">
        <v>42948</v>
      </c>
      <c r="B34" s="24">
        <v>1.01384451544196</v>
      </c>
      <c r="C34" s="24">
        <v>1.0597439544807969</v>
      </c>
      <c r="D34" s="24">
        <v>1.0170212765957449</v>
      </c>
      <c r="E34" s="24">
        <v>1.006472491909385</v>
      </c>
      <c r="F34" s="25">
        <f t="shared" si="2"/>
        <v>1.1085461559623246</v>
      </c>
      <c r="G34" s="25">
        <f t="shared" si="2"/>
        <v>1.1458256459496354</v>
      </c>
      <c r="H34" s="25">
        <f t="shared" si="2"/>
        <v>1.1627844780361785</v>
      </c>
      <c r="I34" s="25">
        <f t="shared" si="2"/>
        <v>1.0629588216104708</v>
      </c>
      <c r="J34" s="25">
        <f t="shared" si="2"/>
        <v>1.0109684772065546</v>
      </c>
      <c r="K34" s="25">
        <f t="shared" si="2"/>
        <v>1.1446305085920419</v>
      </c>
      <c r="L34" s="25">
        <f t="shared" si="2"/>
        <v>1.1632687945181175</v>
      </c>
      <c r="M34" s="2">
        <v>96.1</v>
      </c>
      <c r="N34" s="27">
        <f t="shared" si="3"/>
        <v>94.215686274509807</v>
      </c>
      <c r="O34" s="26">
        <v>0.9877232142857143</v>
      </c>
      <c r="P34" s="2">
        <v>143.6</v>
      </c>
      <c r="Q34" s="2">
        <v>143.6</v>
      </c>
      <c r="R34" s="2">
        <v>148.5</v>
      </c>
      <c r="S34" s="2">
        <v>1176.26943333333</v>
      </c>
      <c r="T34" s="2">
        <v>100.6</v>
      </c>
      <c r="U34" s="27"/>
      <c r="V34" s="2">
        <v>100.6</v>
      </c>
      <c r="W34" s="27"/>
      <c r="X34" s="2">
        <v>72.099999999999994</v>
      </c>
      <c r="Y34" s="3"/>
    </row>
    <row r="35" spans="1:25" ht="14.4" x14ac:dyDescent="0.3">
      <c r="A35" s="5">
        <v>42979</v>
      </c>
      <c r="B35" s="24">
        <v>1.0127795527156549</v>
      </c>
      <c r="C35" s="24">
        <v>1.0711237553342821</v>
      </c>
      <c r="D35" s="24">
        <v>1.0170212765957449</v>
      </c>
      <c r="E35" s="24">
        <v>1.007551240560949</v>
      </c>
      <c r="F35" s="25">
        <f t="shared" si="2"/>
        <v>1.1151686321123158</v>
      </c>
      <c r="G35" s="25">
        <f t="shared" si="2"/>
        <v>1.153412574784852</v>
      </c>
      <c r="H35" s="25">
        <f t="shared" si="2"/>
        <v>1.1700283803137062</v>
      </c>
      <c r="I35" s="25">
        <f t="shared" si="2"/>
        <v>1.0685059867032245</v>
      </c>
      <c r="J35" s="25">
        <f t="shared" si="2"/>
        <v>1.0142700496692327</v>
      </c>
      <c r="K35" s="25">
        <f t="shared" si="2"/>
        <v>1.1539126354894087</v>
      </c>
      <c r="L35" s="25">
        <f t="shared" si="2"/>
        <v>1.173593215066506</v>
      </c>
      <c r="M35" s="2">
        <v>96.6</v>
      </c>
      <c r="N35" s="27">
        <f t="shared" si="3"/>
        <v>94.705882352941174</v>
      </c>
      <c r="O35" s="26">
        <v>0.9944196428571429</v>
      </c>
      <c r="P35" s="2">
        <v>143.6</v>
      </c>
      <c r="Q35" s="2">
        <v>143.6</v>
      </c>
      <c r="R35" s="2">
        <v>148.6</v>
      </c>
      <c r="S35" s="2">
        <v>1154.7683612025</v>
      </c>
      <c r="T35" s="2">
        <v>101.3</v>
      </c>
      <c r="U35" s="27"/>
      <c r="V35" s="2">
        <v>101.3</v>
      </c>
      <c r="W35" s="27"/>
      <c r="X35" s="2">
        <v>72.3</v>
      </c>
      <c r="Y35" s="3"/>
    </row>
    <row r="36" spans="1:25" ht="14.4" x14ac:dyDescent="0.3">
      <c r="A36" s="5">
        <v>43009</v>
      </c>
      <c r="B36" s="24">
        <v>1.01384451544196</v>
      </c>
      <c r="C36" s="24">
        <v>1.083926031294453</v>
      </c>
      <c r="D36" s="24">
        <v>1.0170212765957449</v>
      </c>
      <c r="E36" s="24">
        <v>1.0097087378640781</v>
      </c>
      <c r="F36" s="25">
        <f t="shared" si="2"/>
        <v>1.1217911082623069</v>
      </c>
      <c r="G36" s="25">
        <f t="shared" si="2"/>
        <v>1.1609995036200687</v>
      </c>
      <c r="H36" s="25">
        <f t="shared" si="2"/>
        <v>1.1772722825912338</v>
      </c>
      <c r="I36" s="25">
        <f t="shared" si="2"/>
        <v>1.0740531517959782</v>
      </c>
      <c r="J36" s="25">
        <f t="shared" si="2"/>
        <v>1.0175716221319107</v>
      </c>
      <c r="K36" s="25">
        <f t="shared" si="2"/>
        <v>1.1631947623867753</v>
      </c>
      <c r="L36" s="25">
        <f t="shared" si="2"/>
        <v>1.1839176356148944</v>
      </c>
      <c r="M36" s="2">
        <v>97</v>
      </c>
      <c r="N36" s="27">
        <f t="shared" si="3"/>
        <v>95.098039215686271</v>
      </c>
      <c r="O36" s="26">
        <v>0.99776785714285732</v>
      </c>
      <c r="P36" s="2">
        <v>143.6</v>
      </c>
      <c r="Q36" s="2">
        <v>143.6</v>
      </c>
      <c r="R36" s="2">
        <v>148.4</v>
      </c>
      <c r="S36" s="2">
        <v>1135.2543555555601</v>
      </c>
      <c r="T36" s="2">
        <v>103.5</v>
      </c>
      <c r="U36" s="27"/>
      <c r="V36" s="2">
        <v>103.5</v>
      </c>
      <c r="W36" s="27"/>
      <c r="X36" s="2">
        <v>71.2</v>
      </c>
      <c r="Y36" s="3"/>
    </row>
    <row r="37" spans="1:25" ht="14.4" x14ac:dyDescent="0.3">
      <c r="A37" s="5">
        <v>43040</v>
      </c>
      <c r="B37" s="24">
        <v>1.0127795527156549</v>
      </c>
      <c r="C37" s="24">
        <v>1.0881934566145091</v>
      </c>
      <c r="D37" s="24">
        <v>1.0170212765957449</v>
      </c>
      <c r="E37" s="24">
        <v>1.0097087378640781</v>
      </c>
      <c r="F37" s="25">
        <f t="shared" ref="F37:L68" si="4">VLOOKUP(YEAR($A37),_HOUT_INDEX_TAB,COLUMN(A35)+1,FALSE)+(VLOOKUP(YEAR($A37)+1,_HOUT_INDEX_TAB,COLUMN(A35)+1,FALSE)-VLOOKUP(YEAR($A37),_HOUT_INDEX_TAB,COLUMN(A35)+1,FALSE))*((MONTH($A37)-1)/12)</f>
        <v>1.1284135844122978</v>
      </c>
      <c r="G37" s="25">
        <f t="shared" si="4"/>
        <v>1.1685864324552855</v>
      </c>
      <c r="H37" s="25">
        <f t="shared" si="4"/>
        <v>1.1845161848687615</v>
      </c>
      <c r="I37" s="25">
        <f t="shared" si="4"/>
        <v>1.0796003168887318</v>
      </c>
      <c r="J37" s="25">
        <f t="shared" si="4"/>
        <v>1.0208731945945888</v>
      </c>
      <c r="K37" s="25">
        <f t="shared" si="4"/>
        <v>1.172476889284142</v>
      </c>
      <c r="L37" s="25">
        <f t="shared" si="4"/>
        <v>1.1942420561632829</v>
      </c>
      <c r="M37" s="2">
        <v>96.7</v>
      </c>
      <c r="N37" s="27">
        <f t="shared" si="3"/>
        <v>94.803921568627459</v>
      </c>
      <c r="O37" s="26">
        <v>1.005580357142857</v>
      </c>
      <c r="P37" s="2">
        <v>151.1</v>
      </c>
      <c r="Q37" s="2">
        <v>151.1</v>
      </c>
      <c r="R37" s="2">
        <v>148.5</v>
      </c>
      <c r="S37" s="2">
        <v>1149.6962826445199</v>
      </c>
      <c r="T37" s="2">
        <v>105.7</v>
      </c>
      <c r="U37" s="27"/>
      <c r="V37" s="2">
        <v>105.7</v>
      </c>
      <c r="W37" s="27"/>
      <c r="X37" s="2">
        <v>71.5</v>
      </c>
      <c r="Y37" s="3"/>
    </row>
    <row r="38" spans="1:25" ht="14.4" x14ac:dyDescent="0.3">
      <c r="A38" s="5">
        <v>43070</v>
      </c>
      <c r="B38" s="24">
        <v>1.01384451544196</v>
      </c>
      <c r="C38" s="24">
        <v>1.092460881934566</v>
      </c>
      <c r="D38" s="24">
        <v>1.0159574468085111</v>
      </c>
      <c r="E38" s="24">
        <v>1.0097087378640781</v>
      </c>
      <c r="F38" s="25">
        <f t="shared" si="4"/>
        <v>1.1350360605622889</v>
      </c>
      <c r="G38" s="25">
        <f t="shared" si="4"/>
        <v>1.1761733612905023</v>
      </c>
      <c r="H38" s="25">
        <f t="shared" si="4"/>
        <v>1.1917600871462894</v>
      </c>
      <c r="I38" s="25">
        <f t="shared" si="4"/>
        <v>1.0851474819814855</v>
      </c>
      <c r="J38" s="25">
        <f t="shared" si="4"/>
        <v>1.024174767057267</v>
      </c>
      <c r="K38" s="25">
        <f t="shared" si="4"/>
        <v>1.1817590161815088</v>
      </c>
      <c r="L38" s="25">
        <f t="shared" si="4"/>
        <v>1.2045664767116713</v>
      </c>
      <c r="M38" s="2">
        <v>97.1</v>
      </c>
      <c r="N38" s="27">
        <f t="shared" si="3"/>
        <v>95.196078431372541</v>
      </c>
      <c r="O38" s="26">
        <v>1.005580357142857</v>
      </c>
      <c r="P38" s="2">
        <v>151.1</v>
      </c>
      <c r="Q38" s="2">
        <v>151.1</v>
      </c>
      <c r="R38" s="2">
        <v>148.5</v>
      </c>
      <c r="S38" s="2">
        <v>1170.7539999999999</v>
      </c>
      <c r="T38" s="2">
        <v>106.3</v>
      </c>
      <c r="U38" s="27"/>
      <c r="V38" s="2">
        <v>106.3</v>
      </c>
      <c r="W38" s="27"/>
      <c r="X38" s="2">
        <v>71.400000000000006</v>
      </c>
      <c r="Y38" s="3"/>
    </row>
    <row r="39" spans="1:25" ht="14.4" x14ac:dyDescent="0.3">
      <c r="A39" s="5">
        <v>43101</v>
      </c>
      <c r="B39" s="24">
        <v>1.018104366347178</v>
      </c>
      <c r="C39" s="24">
        <v>1.106685633001423</v>
      </c>
      <c r="D39" s="24">
        <v>1.0127659574468091</v>
      </c>
      <c r="E39" s="24">
        <v>1.0118662351672061</v>
      </c>
      <c r="F39" s="25">
        <f t="shared" si="4"/>
        <v>1.14165853671228</v>
      </c>
      <c r="G39" s="25">
        <f t="shared" si="4"/>
        <v>1.1837602901257189</v>
      </c>
      <c r="H39" s="25">
        <f t="shared" si="4"/>
        <v>1.1990039894238171</v>
      </c>
      <c r="I39" s="25">
        <f t="shared" si="4"/>
        <v>1.0906946470742391</v>
      </c>
      <c r="J39" s="25">
        <f t="shared" si="4"/>
        <v>1.0274763395199451</v>
      </c>
      <c r="K39" s="25">
        <f t="shared" si="4"/>
        <v>1.1910411430788754</v>
      </c>
      <c r="L39" s="25">
        <f t="shared" si="4"/>
        <v>1.2148908972600598</v>
      </c>
      <c r="M39" s="2">
        <v>97.7</v>
      </c>
      <c r="N39" s="27">
        <f t="shared" si="3"/>
        <v>95.784313725490193</v>
      </c>
      <c r="O39" s="26">
        <v>1.0089285714285721</v>
      </c>
      <c r="P39" s="2">
        <v>151.1</v>
      </c>
      <c r="Q39" s="2">
        <v>151.1</v>
      </c>
      <c r="R39" s="2">
        <v>148.5</v>
      </c>
      <c r="S39" s="2">
        <v>1305.45259791076</v>
      </c>
      <c r="T39" s="2">
        <v>107.1</v>
      </c>
      <c r="U39" s="27"/>
      <c r="V39" s="2">
        <v>107.1</v>
      </c>
      <c r="W39" s="27"/>
      <c r="X39" s="2">
        <v>72.2</v>
      </c>
      <c r="Y39" s="3"/>
    </row>
    <row r="40" spans="1:25" ht="14.4" x14ac:dyDescent="0.3">
      <c r="A40" s="5">
        <v>43132</v>
      </c>
      <c r="B40" s="24">
        <v>1.018104366347178</v>
      </c>
      <c r="C40" s="24">
        <v>1.119487908961593</v>
      </c>
      <c r="D40" s="24">
        <v>1.0127659574468091</v>
      </c>
      <c r="E40" s="24">
        <v>1.0129449838187701</v>
      </c>
      <c r="F40" s="25">
        <f t="shared" si="4"/>
        <v>1.1325145436442456</v>
      </c>
      <c r="G40" s="25">
        <f t="shared" si="4"/>
        <v>1.1688951582056761</v>
      </c>
      <c r="H40" s="25">
        <f t="shared" si="4"/>
        <v>1.184411777387367</v>
      </c>
      <c r="I40" s="25">
        <f t="shared" si="4"/>
        <v>1.0896906873192154</v>
      </c>
      <c r="J40" s="25">
        <f t="shared" si="4"/>
        <v>1.0344593845068017</v>
      </c>
      <c r="K40" s="25">
        <f t="shared" si="4"/>
        <v>1.1862363005487182</v>
      </c>
      <c r="L40" s="25">
        <f t="shared" si="4"/>
        <v>1.2171281821144557</v>
      </c>
      <c r="M40" s="2">
        <v>97.4</v>
      </c>
      <c r="N40" s="27">
        <f t="shared" si="3"/>
        <v>95.490196078431381</v>
      </c>
      <c r="O40" s="26">
        <v>1.012276785714286</v>
      </c>
      <c r="P40" s="2">
        <v>151.1</v>
      </c>
      <c r="Q40" s="2">
        <v>151.1</v>
      </c>
      <c r="R40" s="2">
        <v>149.19999999999999</v>
      </c>
      <c r="S40" s="2">
        <v>1416.24157181389</v>
      </c>
      <c r="T40" s="2">
        <v>106.3</v>
      </c>
      <c r="U40" s="27"/>
      <c r="V40" s="2">
        <v>106.3</v>
      </c>
      <c r="W40" s="27"/>
      <c r="X40" s="2">
        <v>73.2</v>
      </c>
      <c r="Y40" s="3"/>
    </row>
    <row r="41" spans="1:25" ht="14.4" x14ac:dyDescent="0.3">
      <c r="A41" s="5">
        <v>43160</v>
      </c>
      <c r="B41" s="24">
        <v>1.0202342917997871</v>
      </c>
      <c r="C41" s="24">
        <v>1.1337126600284499</v>
      </c>
      <c r="D41" s="24">
        <v>1.0127659574468091</v>
      </c>
      <c r="E41" s="24">
        <v>1.015102481121898</v>
      </c>
      <c r="F41" s="25">
        <f t="shared" si="4"/>
        <v>1.1233705505762113</v>
      </c>
      <c r="G41" s="25">
        <f t="shared" si="4"/>
        <v>1.1540300262856333</v>
      </c>
      <c r="H41" s="25">
        <f t="shared" si="4"/>
        <v>1.1698195653509171</v>
      </c>
      <c r="I41" s="25">
        <f t="shared" si="4"/>
        <v>1.0886867275641916</v>
      </c>
      <c r="J41" s="25">
        <f t="shared" si="4"/>
        <v>1.0414424294936584</v>
      </c>
      <c r="K41" s="25">
        <f t="shared" si="4"/>
        <v>1.181431458018561</v>
      </c>
      <c r="L41" s="25">
        <f t="shared" si="4"/>
        <v>1.2193654669688518</v>
      </c>
      <c r="M41" s="2">
        <v>99.3</v>
      </c>
      <c r="N41" s="27">
        <f t="shared" si="3"/>
        <v>97.35294117647058</v>
      </c>
      <c r="O41" s="26">
        <v>1.013392857142857</v>
      </c>
      <c r="P41" s="2">
        <v>152.69999999999999</v>
      </c>
      <c r="Q41" s="2">
        <v>152.69999999999999</v>
      </c>
      <c r="R41" s="2">
        <v>149.5</v>
      </c>
      <c r="S41" s="2">
        <v>1405.2652341768701</v>
      </c>
      <c r="T41" s="2">
        <v>106.8</v>
      </c>
      <c r="U41" s="27"/>
      <c r="V41" s="2">
        <v>106.8</v>
      </c>
      <c r="W41" s="27"/>
      <c r="X41" s="2">
        <v>70.599999999999994</v>
      </c>
      <c r="Y41" s="3"/>
    </row>
    <row r="42" spans="1:25" ht="14.4" x14ac:dyDescent="0.3">
      <c r="A42" s="5">
        <v>43191</v>
      </c>
      <c r="B42" s="24">
        <v>1.0202342917997871</v>
      </c>
      <c r="C42" s="24">
        <v>1.143669985775249</v>
      </c>
      <c r="D42" s="24">
        <v>1.013829787234042</v>
      </c>
      <c r="E42" s="24">
        <v>1.0140237324703341</v>
      </c>
      <c r="F42" s="25">
        <f t="shared" si="4"/>
        <v>1.1142265575081769</v>
      </c>
      <c r="G42" s="25">
        <f t="shared" si="4"/>
        <v>1.1391648943655905</v>
      </c>
      <c r="H42" s="25">
        <f t="shared" si="4"/>
        <v>1.155227353314467</v>
      </c>
      <c r="I42" s="25">
        <f t="shared" si="4"/>
        <v>1.0876827678091676</v>
      </c>
      <c r="J42" s="25">
        <f t="shared" si="4"/>
        <v>1.0484254744805153</v>
      </c>
      <c r="K42" s="25">
        <f t="shared" si="4"/>
        <v>1.1766266154884037</v>
      </c>
      <c r="L42" s="25">
        <f t="shared" si="4"/>
        <v>1.221602751823248</v>
      </c>
      <c r="M42" s="2">
        <v>103.3</v>
      </c>
      <c r="N42" s="27">
        <f t="shared" si="3"/>
        <v>101.27450980392156</v>
      </c>
      <c r="O42" s="26">
        <v>1.010044642857143</v>
      </c>
      <c r="P42" s="2">
        <v>159.9</v>
      </c>
      <c r="Q42" s="2">
        <v>159.9</v>
      </c>
      <c r="R42" s="2">
        <v>149.5</v>
      </c>
      <c r="S42" s="2">
        <v>1428.2197571428601</v>
      </c>
      <c r="T42" s="2">
        <v>107.5</v>
      </c>
      <c r="U42" s="27"/>
      <c r="V42" s="2">
        <v>107.5</v>
      </c>
      <c r="W42" s="27"/>
      <c r="X42" s="2">
        <v>72.400000000000006</v>
      </c>
      <c r="Y42" s="3"/>
    </row>
    <row r="43" spans="1:25" ht="14.4" x14ac:dyDescent="0.3">
      <c r="A43" s="5">
        <v>43221</v>
      </c>
      <c r="B43" s="24">
        <v>1.0223642172523959</v>
      </c>
      <c r="C43" s="24">
        <v>1.1493598862019909</v>
      </c>
      <c r="D43" s="24">
        <v>1.014893617021277</v>
      </c>
      <c r="E43" s="24">
        <v>1.0172599784250269</v>
      </c>
      <c r="F43" s="25">
        <f t="shared" si="4"/>
        <v>1.1050825644401425</v>
      </c>
      <c r="G43" s="25">
        <f t="shared" si="4"/>
        <v>1.1242997624455477</v>
      </c>
      <c r="H43" s="25">
        <f t="shared" si="4"/>
        <v>1.1406351412780171</v>
      </c>
      <c r="I43" s="25">
        <f t="shared" si="4"/>
        <v>1.0866788080541439</v>
      </c>
      <c r="J43" s="25">
        <f t="shared" si="4"/>
        <v>1.0554085194673719</v>
      </c>
      <c r="K43" s="25">
        <f t="shared" si="4"/>
        <v>1.1718217729582465</v>
      </c>
      <c r="L43" s="25">
        <f t="shared" si="4"/>
        <v>1.2238400366776438</v>
      </c>
      <c r="M43" s="2">
        <v>103.8</v>
      </c>
      <c r="N43" s="27">
        <f t="shared" si="3"/>
        <v>101.76470588235293</v>
      </c>
      <c r="O43" s="26">
        <v>1.025669642857143</v>
      </c>
      <c r="P43" s="2">
        <v>159.9</v>
      </c>
      <c r="Q43" s="2">
        <v>159.9</v>
      </c>
      <c r="R43" s="2">
        <v>153.69999999999999</v>
      </c>
      <c r="S43" s="2">
        <v>1545.81988</v>
      </c>
      <c r="T43" s="2">
        <v>106.2</v>
      </c>
      <c r="U43" s="27"/>
      <c r="V43" s="2">
        <v>106.2</v>
      </c>
      <c r="W43" s="27"/>
      <c r="X43" s="2">
        <v>73.900000000000006</v>
      </c>
      <c r="Y43" s="3"/>
    </row>
    <row r="44" spans="1:25" ht="14.4" x14ac:dyDescent="0.3">
      <c r="A44" s="5">
        <v>43252</v>
      </c>
      <c r="B44" s="24">
        <v>1.023429179978701</v>
      </c>
      <c r="C44" s="24">
        <v>1.1507823613086769</v>
      </c>
      <c r="D44" s="24">
        <v>1.018085106382979</v>
      </c>
      <c r="E44" s="24">
        <v>1.0172599784250269</v>
      </c>
      <c r="F44" s="25">
        <f t="shared" si="4"/>
        <v>1.0959385713721082</v>
      </c>
      <c r="G44" s="25">
        <f t="shared" si="4"/>
        <v>1.109434630525505</v>
      </c>
      <c r="H44" s="25">
        <f t="shared" si="4"/>
        <v>1.126042929241567</v>
      </c>
      <c r="I44" s="25">
        <f t="shared" si="4"/>
        <v>1.0856748482991201</v>
      </c>
      <c r="J44" s="25">
        <f t="shared" si="4"/>
        <v>1.0623915644542286</v>
      </c>
      <c r="K44" s="25">
        <f t="shared" si="4"/>
        <v>1.1670169304280893</v>
      </c>
      <c r="L44" s="25">
        <f t="shared" si="4"/>
        <v>1.2260773215320397</v>
      </c>
      <c r="M44" s="2">
        <v>103.7</v>
      </c>
      <c r="N44" s="27">
        <f t="shared" si="3"/>
        <v>101.66666666666666</v>
      </c>
      <c r="O44" s="26">
        <v>1.035714285714286</v>
      </c>
      <c r="P44" s="2">
        <v>159</v>
      </c>
      <c r="Q44" s="2">
        <v>159</v>
      </c>
      <c r="R44" s="2">
        <v>155.30000000000001</v>
      </c>
      <c r="S44" s="2">
        <v>1689.80398236514</v>
      </c>
      <c r="T44" s="2">
        <v>106</v>
      </c>
      <c r="U44" s="27"/>
      <c r="V44" s="2">
        <v>106</v>
      </c>
      <c r="W44" s="27"/>
      <c r="X44" s="2">
        <v>76.5</v>
      </c>
      <c r="Y44" s="3"/>
    </row>
    <row r="45" spans="1:25" ht="14.4" x14ac:dyDescent="0.3">
      <c r="A45" s="5">
        <v>43282</v>
      </c>
      <c r="B45" s="24">
        <v>1.02555910543131</v>
      </c>
      <c r="C45" s="24">
        <v>1.1550497866287339</v>
      </c>
      <c r="D45" s="24">
        <v>1.021276595744681</v>
      </c>
      <c r="E45" s="24">
        <v>1.0183387270765909</v>
      </c>
      <c r="F45" s="25">
        <f t="shared" si="4"/>
        <v>1.0867945783040738</v>
      </c>
      <c r="G45" s="25">
        <f t="shared" si="4"/>
        <v>1.0945694986054622</v>
      </c>
      <c r="H45" s="25">
        <f t="shared" si="4"/>
        <v>1.1114507172051171</v>
      </c>
      <c r="I45" s="25">
        <f t="shared" si="4"/>
        <v>1.0846708885440961</v>
      </c>
      <c r="J45" s="25">
        <f t="shared" si="4"/>
        <v>1.0693746094410852</v>
      </c>
      <c r="K45" s="25">
        <f t="shared" si="4"/>
        <v>1.1622120878979323</v>
      </c>
      <c r="L45" s="25">
        <f t="shared" si="4"/>
        <v>1.2283146063864359</v>
      </c>
      <c r="M45" s="2">
        <v>105.1</v>
      </c>
      <c r="N45" s="27">
        <f t="shared" si="3"/>
        <v>103.0392156862745</v>
      </c>
      <c r="O45" s="26">
        <v>1.036830357142857</v>
      </c>
      <c r="P45" s="2">
        <v>162.80000000000001</v>
      </c>
      <c r="Q45" s="2">
        <v>162.80000000000001</v>
      </c>
      <c r="R45" s="2">
        <v>153.30000000000001</v>
      </c>
      <c r="S45" s="2">
        <v>1670.6404</v>
      </c>
      <c r="T45" s="2">
        <v>105.3</v>
      </c>
      <c r="U45" s="27"/>
      <c r="V45" s="2">
        <v>105.3</v>
      </c>
      <c r="W45" s="27"/>
      <c r="X45" s="2">
        <v>76.099999999999994</v>
      </c>
      <c r="Y45" s="3"/>
    </row>
    <row r="46" spans="1:25" ht="14.4" x14ac:dyDescent="0.3">
      <c r="A46" s="5">
        <v>43313</v>
      </c>
      <c r="B46" s="24">
        <v>1.0276890308839191</v>
      </c>
      <c r="C46" s="24">
        <v>1.1593172119487909</v>
      </c>
      <c r="D46" s="24">
        <v>1.024468085106383</v>
      </c>
      <c r="E46" s="24">
        <v>1.0194174757281551</v>
      </c>
      <c r="F46" s="25">
        <f t="shared" si="4"/>
        <v>1.0776505852360394</v>
      </c>
      <c r="G46" s="25">
        <f t="shared" si="4"/>
        <v>1.0797043666854196</v>
      </c>
      <c r="H46" s="25">
        <f t="shared" si="4"/>
        <v>1.096858505168667</v>
      </c>
      <c r="I46" s="25">
        <f t="shared" si="4"/>
        <v>1.0836669287890723</v>
      </c>
      <c r="J46" s="25">
        <f t="shared" si="4"/>
        <v>1.0763576544279418</v>
      </c>
      <c r="K46" s="25">
        <f t="shared" si="4"/>
        <v>1.1574072453677751</v>
      </c>
      <c r="L46" s="25">
        <f t="shared" si="4"/>
        <v>1.230551891240832</v>
      </c>
      <c r="M46" s="2">
        <v>105.8</v>
      </c>
      <c r="N46" s="27">
        <f t="shared" si="3"/>
        <v>103.72549019607843</v>
      </c>
      <c r="O46" s="26">
        <v>1.027901785714286</v>
      </c>
      <c r="P46" s="2">
        <v>162.80000000000001</v>
      </c>
      <c r="Q46" s="2">
        <v>162.80000000000001</v>
      </c>
      <c r="R46" s="2">
        <v>153.4</v>
      </c>
      <c r="S46" s="2">
        <v>1631.1429478192399</v>
      </c>
      <c r="T46" s="2">
        <v>105.3</v>
      </c>
      <c r="U46" s="27"/>
      <c r="V46" s="2">
        <v>105.3</v>
      </c>
      <c r="W46" s="27"/>
      <c r="X46" s="2">
        <v>77.099999999999994</v>
      </c>
      <c r="Y46" s="3"/>
    </row>
    <row r="47" spans="1:25" ht="14.4" x14ac:dyDescent="0.3">
      <c r="A47" s="5">
        <v>43344</v>
      </c>
      <c r="B47" s="24">
        <v>1.0276890308839191</v>
      </c>
      <c r="C47" s="24">
        <v>1.160739687055476</v>
      </c>
      <c r="D47" s="24">
        <v>1.0265957446808509</v>
      </c>
      <c r="E47" s="24">
        <v>1.0194174757281551</v>
      </c>
      <c r="F47" s="25">
        <f t="shared" si="4"/>
        <v>1.068506592168005</v>
      </c>
      <c r="G47" s="25">
        <f t="shared" si="4"/>
        <v>1.0648392347653768</v>
      </c>
      <c r="H47" s="25">
        <f t="shared" si="4"/>
        <v>1.0822662931322169</v>
      </c>
      <c r="I47" s="25">
        <f t="shared" si="4"/>
        <v>1.0826629690340486</v>
      </c>
      <c r="J47" s="25">
        <f t="shared" si="4"/>
        <v>1.0833406994147985</v>
      </c>
      <c r="K47" s="25">
        <f t="shared" si="4"/>
        <v>1.1526024028376178</v>
      </c>
      <c r="L47" s="25">
        <f t="shared" si="4"/>
        <v>1.2327891760952279</v>
      </c>
      <c r="M47" s="2">
        <v>105.3</v>
      </c>
      <c r="N47" s="27">
        <f t="shared" si="3"/>
        <v>103.23529411764704</v>
      </c>
      <c r="O47" s="26">
        <v>1.024553571428571</v>
      </c>
      <c r="P47" s="2">
        <v>162.80000000000001</v>
      </c>
      <c r="Q47" s="2">
        <v>162.80000000000001</v>
      </c>
      <c r="R47" s="2">
        <v>155.30000000000001</v>
      </c>
      <c r="S47" s="2">
        <v>1598.0866125</v>
      </c>
      <c r="T47" s="2">
        <v>104.1</v>
      </c>
      <c r="U47" s="27"/>
      <c r="V47" s="2">
        <v>104.1</v>
      </c>
      <c r="W47" s="27"/>
      <c r="X47" s="2">
        <v>76.599999999999994</v>
      </c>
      <c r="Y47" s="3"/>
    </row>
    <row r="48" spans="1:25" ht="14.4" x14ac:dyDescent="0.3">
      <c r="A48" s="5">
        <v>43374</v>
      </c>
      <c r="B48" s="24">
        <v>1.0308839190628329</v>
      </c>
      <c r="C48" s="24">
        <v>1.1564722617354199</v>
      </c>
      <c r="D48" s="24">
        <v>1.0265957446808509</v>
      </c>
      <c r="E48" s="24">
        <v>1.02049622437972</v>
      </c>
      <c r="F48" s="25">
        <f t="shared" si="4"/>
        <v>1.0593625990999707</v>
      </c>
      <c r="G48" s="25">
        <f t="shared" si="4"/>
        <v>1.049974102845334</v>
      </c>
      <c r="H48" s="25">
        <f t="shared" si="4"/>
        <v>1.067674081095767</v>
      </c>
      <c r="I48" s="25">
        <f t="shared" si="4"/>
        <v>1.0816590092790248</v>
      </c>
      <c r="J48" s="25">
        <f t="shared" si="4"/>
        <v>1.0903237444016551</v>
      </c>
      <c r="K48" s="25">
        <f t="shared" si="4"/>
        <v>1.1477975603074606</v>
      </c>
      <c r="L48" s="25">
        <f t="shared" si="4"/>
        <v>1.2350264609496238</v>
      </c>
      <c r="M48" s="2">
        <v>106.2</v>
      </c>
      <c r="N48" s="27">
        <f t="shared" si="3"/>
        <v>104.11764705882354</v>
      </c>
      <c r="O48" s="26">
        <v>1.018973214285714</v>
      </c>
      <c r="P48" s="2">
        <v>162.80000000000001</v>
      </c>
      <c r="Q48" s="2">
        <v>162.80000000000001</v>
      </c>
      <c r="R48" s="2">
        <v>157.1</v>
      </c>
      <c r="S48" s="2">
        <v>1528.7933387016001</v>
      </c>
      <c r="T48" s="2">
        <v>105.2</v>
      </c>
      <c r="U48" s="27"/>
      <c r="V48" s="2">
        <v>105.2</v>
      </c>
      <c r="W48" s="27"/>
      <c r="X48" s="2">
        <v>74.8</v>
      </c>
      <c r="Y48" s="3"/>
    </row>
    <row r="49" spans="1:25" ht="14.4" x14ac:dyDescent="0.3">
      <c r="A49" s="5">
        <v>43405</v>
      </c>
      <c r="B49" s="24">
        <v>1.0319488817891369</v>
      </c>
      <c r="C49" s="24">
        <v>1.152204836415363</v>
      </c>
      <c r="D49" s="24">
        <v>1.0287234042553191</v>
      </c>
      <c r="E49" s="24">
        <v>1.02049622437972</v>
      </c>
      <c r="F49" s="25">
        <f t="shared" si="4"/>
        <v>1.0502186060319363</v>
      </c>
      <c r="G49" s="25">
        <f t="shared" si="4"/>
        <v>1.0351089709252912</v>
      </c>
      <c r="H49" s="25">
        <f t="shared" si="4"/>
        <v>1.0530818690593169</v>
      </c>
      <c r="I49" s="25">
        <f t="shared" si="4"/>
        <v>1.080655049524001</v>
      </c>
      <c r="J49" s="25">
        <f t="shared" si="4"/>
        <v>1.097306789388512</v>
      </c>
      <c r="K49" s="25">
        <f t="shared" si="4"/>
        <v>1.1429927177773034</v>
      </c>
      <c r="L49" s="25">
        <f t="shared" si="4"/>
        <v>1.2372637458040199</v>
      </c>
      <c r="M49" s="2">
        <v>104.9</v>
      </c>
      <c r="N49" s="27">
        <f t="shared" si="3"/>
        <v>102.84313725490198</v>
      </c>
      <c r="O49" s="26">
        <v>1.015625</v>
      </c>
      <c r="P49" s="2">
        <v>162.80000000000001</v>
      </c>
      <c r="Q49" s="2">
        <v>162.80000000000001</v>
      </c>
      <c r="R49" s="2">
        <v>156.30000000000001</v>
      </c>
      <c r="S49" s="2">
        <v>1501.8836884548</v>
      </c>
      <c r="T49" s="2">
        <v>105.2</v>
      </c>
      <c r="U49" s="27"/>
      <c r="V49" s="2">
        <v>105.2</v>
      </c>
      <c r="W49" s="27"/>
      <c r="X49" s="2">
        <v>70.8</v>
      </c>
      <c r="Y49" s="3"/>
    </row>
    <row r="50" spans="1:25" ht="14.4" x14ac:dyDescent="0.3">
      <c r="A50" s="5">
        <v>43435</v>
      </c>
      <c r="B50" s="24">
        <v>1.0340788072417459</v>
      </c>
      <c r="C50" s="24">
        <v>1.14651493598862</v>
      </c>
      <c r="D50" s="24">
        <v>1.0297872340425529</v>
      </c>
      <c r="E50" s="24">
        <v>1.0194174757281551</v>
      </c>
      <c r="F50" s="25">
        <f t="shared" si="4"/>
        <v>1.0410746129639019</v>
      </c>
      <c r="G50" s="25">
        <f t="shared" si="4"/>
        <v>1.0202438390052484</v>
      </c>
      <c r="H50" s="25">
        <f t="shared" si="4"/>
        <v>1.038489657022867</v>
      </c>
      <c r="I50" s="25">
        <f t="shared" si="4"/>
        <v>1.0796510897689771</v>
      </c>
      <c r="J50" s="25">
        <f t="shared" si="4"/>
        <v>1.1042898343753687</v>
      </c>
      <c r="K50" s="25">
        <f t="shared" si="4"/>
        <v>1.1381878752471462</v>
      </c>
      <c r="L50" s="25">
        <f t="shared" si="4"/>
        <v>1.239501030658416</v>
      </c>
      <c r="M50" s="2">
        <v>102.5</v>
      </c>
      <c r="N50" s="27">
        <f t="shared" si="3"/>
        <v>100.49019607843137</v>
      </c>
      <c r="O50" s="26">
        <v>1.0089285714285721</v>
      </c>
      <c r="P50" s="2">
        <v>162.80000000000001</v>
      </c>
      <c r="Q50" s="2">
        <v>162.80000000000001</v>
      </c>
      <c r="R50" s="2">
        <v>156.30000000000001</v>
      </c>
      <c r="S50" s="2">
        <v>1508.8610361078499</v>
      </c>
      <c r="T50" s="2">
        <v>101.9</v>
      </c>
      <c r="U50" s="27"/>
      <c r="V50" s="2">
        <v>101.9</v>
      </c>
      <c r="W50" s="27"/>
      <c r="X50" s="2">
        <v>73</v>
      </c>
      <c r="Y50" s="3"/>
    </row>
    <row r="51" spans="1:25" ht="14.4" x14ac:dyDescent="0.3">
      <c r="A51" s="5">
        <v>43466</v>
      </c>
      <c r="B51" s="24">
        <v>1.0362087326943561</v>
      </c>
      <c r="C51" s="24">
        <v>1.1365576102418209</v>
      </c>
      <c r="D51" s="24">
        <v>1.030851063829787</v>
      </c>
      <c r="E51" s="24">
        <v>1.02049622437972</v>
      </c>
      <c r="F51" s="25">
        <f t="shared" si="4"/>
        <v>1.0319306198958675</v>
      </c>
      <c r="G51" s="25">
        <f t="shared" si="4"/>
        <v>1.0053787070852056</v>
      </c>
      <c r="H51" s="25">
        <f t="shared" si="4"/>
        <v>1.0238974449864169</v>
      </c>
      <c r="I51" s="25">
        <f t="shared" si="4"/>
        <v>1.0786471300139533</v>
      </c>
      <c r="J51" s="25">
        <f t="shared" si="4"/>
        <v>1.1112728793622253</v>
      </c>
      <c r="K51" s="25">
        <f t="shared" si="4"/>
        <v>1.1333830327169889</v>
      </c>
      <c r="L51" s="25">
        <f t="shared" si="4"/>
        <v>1.2417383155128119</v>
      </c>
      <c r="M51" s="2">
        <v>99.9</v>
      </c>
      <c r="N51" s="27">
        <f t="shared" si="3"/>
        <v>97.941176470588246</v>
      </c>
      <c r="O51" s="26">
        <v>1.005580357142857</v>
      </c>
      <c r="P51" s="2">
        <v>162.6</v>
      </c>
      <c r="Q51" s="2">
        <v>162.6</v>
      </c>
      <c r="R51" s="2">
        <v>156.30000000000001</v>
      </c>
      <c r="S51" s="2">
        <v>1554.1314663610499</v>
      </c>
      <c r="T51" s="2">
        <v>101.5</v>
      </c>
      <c r="U51" s="27"/>
      <c r="V51" s="2">
        <v>101.5</v>
      </c>
      <c r="W51" s="27"/>
      <c r="X51" s="2">
        <v>74</v>
      </c>
      <c r="Y51" s="3"/>
    </row>
    <row r="52" spans="1:25" ht="14.4" x14ac:dyDescent="0.3">
      <c r="A52" s="5">
        <v>43497</v>
      </c>
      <c r="B52" s="24">
        <v>1.0383386581469649</v>
      </c>
      <c r="C52" s="24">
        <v>1.1266002844950209</v>
      </c>
      <c r="D52" s="24">
        <v>1.030851063829787</v>
      </c>
      <c r="E52" s="24">
        <v>1.0194174757281551</v>
      </c>
      <c r="F52" s="25">
        <f t="shared" si="4"/>
        <v>1.0309742042916117</v>
      </c>
      <c r="G52" s="25">
        <f t="shared" si="4"/>
        <v>1.0046334882024879</v>
      </c>
      <c r="H52" s="25">
        <f t="shared" si="4"/>
        <v>1.0241130260836744</v>
      </c>
      <c r="I52" s="25">
        <f t="shared" si="4"/>
        <v>1.0776465490653486</v>
      </c>
      <c r="J52" s="25">
        <f t="shared" si="4"/>
        <v>1.1070244164197061</v>
      </c>
      <c r="K52" s="25">
        <f t="shared" si="4"/>
        <v>1.133104896755631</v>
      </c>
      <c r="L52" s="25">
        <f t="shared" si="4"/>
        <v>1.2451803204671261</v>
      </c>
      <c r="M52" s="2">
        <v>99.7</v>
      </c>
      <c r="N52" s="27">
        <f t="shared" si="3"/>
        <v>97.745098039215691</v>
      </c>
      <c r="O52" s="26">
        <v>1</v>
      </c>
      <c r="P52" s="2">
        <v>162.80000000000001</v>
      </c>
      <c r="Q52" s="2">
        <v>162.80000000000001</v>
      </c>
      <c r="R52" s="2">
        <v>156.30000000000001</v>
      </c>
      <c r="S52" s="2">
        <v>1617.800140093</v>
      </c>
      <c r="T52" s="2">
        <v>101.5</v>
      </c>
      <c r="U52" s="27"/>
      <c r="V52" s="2">
        <v>101.5</v>
      </c>
      <c r="W52" s="27"/>
      <c r="X52" s="2">
        <v>75</v>
      </c>
      <c r="Y52" s="3"/>
    </row>
    <row r="53" spans="1:25" ht="14.4" x14ac:dyDescent="0.3">
      <c r="A53" s="5">
        <v>43525</v>
      </c>
      <c r="B53" s="24">
        <v>1.0383386581469649</v>
      </c>
      <c r="C53" s="24">
        <v>1.125177809388336</v>
      </c>
      <c r="D53" s="24">
        <v>1.030851063829787</v>
      </c>
      <c r="E53" s="24">
        <v>1.0183387270765909</v>
      </c>
      <c r="F53" s="25">
        <f t="shared" si="4"/>
        <v>1.0300177886873558</v>
      </c>
      <c r="G53" s="25">
        <f t="shared" si="4"/>
        <v>1.0038882693197702</v>
      </c>
      <c r="H53" s="25">
        <f t="shared" si="4"/>
        <v>1.0243286071809319</v>
      </c>
      <c r="I53" s="25">
        <f t="shared" si="4"/>
        <v>1.0766459681167437</v>
      </c>
      <c r="J53" s="25">
        <f t="shared" si="4"/>
        <v>1.1027759534771868</v>
      </c>
      <c r="K53" s="25">
        <f t="shared" si="4"/>
        <v>1.1328267607942728</v>
      </c>
      <c r="L53" s="25">
        <f t="shared" si="4"/>
        <v>1.2486223254214401</v>
      </c>
      <c r="M53" s="2">
        <v>96.6</v>
      </c>
      <c r="N53" s="27">
        <f t="shared" si="3"/>
        <v>94.705882352941174</v>
      </c>
      <c r="O53" s="26">
        <v>0.9988839285714286</v>
      </c>
      <c r="P53" s="2">
        <v>163.19999999999999</v>
      </c>
      <c r="Q53" s="2">
        <v>163.19999999999999</v>
      </c>
      <c r="R53" s="2">
        <v>156.30000000000001</v>
      </c>
      <c r="S53" s="2">
        <v>1586.00223478057</v>
      </c>
      <c r="T53" s="2">
        <v>101.8</v>
      </c>
      <c r="U53" s="27"/>
      <c r="V53" s="2">
        <v>101.8</v>
      </c>
      <c r="W53" s="27"/>
      <c r="X53" s="2">
        <v>74.2</v>
      </c>
      <c r="Y53" s="3"/>
    </row>
    <row r="54" spans="1:25" ht="14.4" x14ac:dyDescent="0.3">
      <c r="A54" s="5">
        <v>43556</v>
      </c>
      <c r="B54" s="24">
        <v>1.0404685835995739</v>
      </c>
      <c r="C54" s="24">
        <v>1.125177809388336</v>
      </c>
      <c r="D54" s="24">
        <v>1.0297872340425529</v>
      </c>
      <c r="E54" s="24">
        <v>1.0194174757281551</v>
      </c>
      <c r="F54" s="25">
        <f t="shared" si="4"/>
        <v>1.0290613730831</v>
      </c>
      <c r="G54" s="25">
        <f t="shared" si="4"/>
        <v>1.0031430504370524</v>
      </c>
      <c r="H54" s="25">
        <f t="shared" si="4"/>
        <v>1.0245441882781892</v>
      </c>
      <c r="I54" s="25">
        <f t="shared" si="4"/>
        <v>1.0756453871681391</v>
      </c>
      <c r="J54" s="25">
        <f t="shared" si="4"/>
        <v>1.0985274905346676</v>
      </c>
      <c r="K54" s="25">
        <f t="shared" si="4"/>
        <v>1.1325486248329149</v>
      </c>
      <c r="L54" s="25">
        <f t="shared" si="4"/>
        <v>1.2520643303757544</v>
      </c>
      <c r="M54" s="2">
        <v>96.2</v>
      </c>
      <c r="N54" s="27">
        <f t="shared" si="3"/>
        <v>94.313725490196077</v>
      </c>
      <c r="O54" s="26">
        <v>0.99776785714285732</v>
      </c>
      <c r="P54" s="2">
        <v>163.19999999999999</v>
      </c>
      <c r="Q54" s="2">
        <v>163.19999999999999</v>
      </c>
      <c r="R54" s="2">
        <v>156.19999999999999</v>
      </c>
      <c r="S54" s="2">
        <v>1553.87925178449</v>
      </c>
      <c r="T54" s="2">
        <v>102</v>
      </c>
      <c r="U54" s="27"/>
      <c r="V54" s="2">
        <v>102</v>
      </c>
      <c r="W54" s="27"/>
      <c r="X54" s="2">
        <v>75.7</v>
      </c>
      <c r="Y54" s="3"/>
    </row>
    <row r="55" spans="1:25" ht="14.4" x14ac:dyDescent="0.3">
      <c r="A55" s="5">
        <v>43586</v>
      </c>
      <c r="B55" s="24">
        <v>1.042598509052183</v>
      </c>
      <c r="C55" s="24">
        <v>1.1166429587482221</v>
      </c>
      <c r="D55" s="24">
        <v>1.030851063829787</v>
      </c>
      <c r="E55" s="24">
        <v>1.02049622437972</v>
      </c>
      <c r="F55" s="25">
        <f t="shared" si="4"/>
        <v>1.0281049574788441</v>
      </c>
      <c r="G55" s="25">
        <f t="shared" si="4"/>
        <v>1.0023978315543347</v>
      </c>
      <c r="H55" s="25">
        <f t="shared" si="4"/>
        <v>1.0247597693754467</v>
      </c>
      <c r="I55" s="25">
        <f t="shared" si="4"/>
        <v>1.0746448062195342</v>
      </c>
      <c r="J55" s="25">
        <f t="shared" si="4"/>
        <v>1.0942790275921483</v>
      </c>
      <c r="K55" s="25">
        <f t="shared" si="4"/>
        <v>1.1322704888715569</v>
      </c>
      <c r="L55" s="25">
        <f t="shared" si="4"/>
        <v>1.2555063353300686</v>
      </c>
      <c r="M55" s="2">
        <v>98.9</v>
      </c>
      <c r="N55" s="27">
        <f t="shared" si="3"/>
        <v>96.960784313725497</v>
      </c>
      <c r="O55" s="26">
        <v>0.99330357142857151</v>
      </c>
      <c r="P55" s="2">
        <v>160</v>
      </c>
      <c r="Q55" s="2">
        <v>160</v>
      </c>
      <c r="R55" s="2">
        <v>155.6</v>
      </c>
      <c r="S55" s="2">
        <v>1475.6684244903399</v>
      </c>
      <c r="T55" s="2">
        <v>101</v>
      </c>
      <c r="U55" s="27"/>
      <c r="V55" s="2">
        <v>101</v>
      </c>
      <c r="W55" s="27"/>
      <c r="X55" s="2">
        <v>75.099999999999994</v>
      </c>
      <c r="Y55" s="3"/>
    </row>
    <row r="56" spans="1:25" ht="14.4" x14ac:dyDescent="0.3">
      <c r="A56" s="5">
        <v>43617</v>
      </c>
      <c r="B56" s="24">
        <v>1.042598509052183</v>
      </c>
      <c r="C56" s="24">
        <v>1.115220483641536</v>
      </c>
      <c r="D56" s="24">
        <v>1.035106382978723</v>
      </c>
      <c r="E56" s="24">
        <v>1.021574973031284</v>
      </c>
      <c r="F56" s="25">
        <f t="shared" si="4"/>
        <v>1.0271485418745883</v>
      </c>
      <c r="G56" s="25">
        <f t="shared" si="4"/>
        <v>1.001652612671617</v>
      </c>
      <c r="H56" s="25">
        <f t="shared" si="4"/>
        <v>1.0249753504727042</v>
      </c>
      <c r="I56" s="25">
        <f t="shared" si="4"/>
        <v>1.0736442252709295</v>
      </c>
      <c r="J56" s="25">
        <f t="shared" si="4"/>
        <v>1.0900305646496291</v>
      </c>
      <c r="K56" s="25">
        <f t="shared" si="4"/>
        <v>1.1319923529101987</v>
      </c>
      <c r="L56" s="25">
        <f t="shared" si="4"/>
        <v>1.2589483402843828</v>
      </c>
      <c r="M56" s="2">
        <v>98.2</v>
      </c>
      <c r="N56" s="27">
        <f t="shared" si="3"/>
        <v>96.274509803921575</v>
      </c>
      <c r="O56" s="26">
        <v>0.9832589285714286</v>
      </c>
      <c r="P56" s="2">
        <v>154.80000000000001</v>
      </c>
      <c r="Q56" s="2">
        <v>154.80000000000001</v>
      </c>
      <c r="R56" s="2">
        <v>155.69999999999999</v>
      </c>
      <c r="S56" s="2">
        <v>1430.44231059247</v>
      </c>
      <c r="T56" s="2">
        <v>101.4</v>
      </c>
      <c r="U56" s="27"/>
      <c r="V56" s="2">
        <v>101.4</v>
      </c>
      <c r="W56" s="27"/>
      <c r="X56" s="2">
        <v>75.3</v>
      </c>
      <c r="Y56" s="3"/>
    </row>
    <row r="57" spans="1:25" ht="14.4" x14ac:dyDescent="0.3">
      <c r="A57" s="5">
        <v>43647</v>
      </c>
      <c r="B57" s="24">
        <v>1.042598509052183</v>
      </c>
      <c r="C57" s="24">
        <v>1.10099573257468</v>
      </c>
      <c r="D57" s="24">
        <v>1.035106382978723</v>
      </c>
      <c r="E57" s="24">
        <v>1.0194174757281551</v>
      </c>
      <c r="F57" s="25">
        <f t="shared" si="4"/>
        <v>1.0261921262703324</v>
      </c>
      <c r="G57" s="25">
        <f t="shared" si="4"/>
        <v>1.0009073937888993</v>
      </c>
      <c r="H57" s="25">
        <f t="shared" si="4"/>
        <v>1.0251909315699614</v>
      </c>
      <c r="I57" s="25">
        <f t="shared" si="4"/>
        <v>1.0726436443223246</v>
      </c>
      <c r="J57" s="25">
        <f t="shared" si="4"/>
        <v>1.0857821017071099</v>
      </c>
      <c r="K57" s="25">
        <f t="shared" si="4"/>
        <v>1.1317142169488408</v>
      </c>
      <c r="L57" s="25">
        <f t="shared" si="4"/>
        <v>1.2623903452386971</v>
      </c>
      <c r="M57" s="2">
        <v>96.1</v>
      </c>
      <c r="N57" s="27">
        <f t="shared" si="3"/>
        <v>94.215686274509807</v>
      </c>
      <c r="O57" s="26">
        <v>0.9776785714285714</v>
      </c>
      <c r="P57" s="2">
        <v>154.80000000000001</v>
      </c>
      <c r="Q57" s="2">
        <v>154.80000000000001</v>
      </c>
      <c r="R57" s="2">
        <v>155.4</v>
      </c>
      <c r="S57" s="2">
        <v>1372.0358757906999</v>
      </c>
      <c r="T57" s="2">
        <v>101.2</v>
      </c>
      <c r="U57" s="27"/>
      <c r="V57" s="2">
        <v>101.2</v>
      </c>
      <c r="W57" s="27"/>
      <c r="X57" s="2">
        <v>74</v>
      </c>
      <c r="Y57" s="3"/>
    </row>
    <row r="58" spans="1:25" ht="14.4" x14ac:dyDescent="0.3">
      <c r="A58" s="5">
        <v>43678</v>
      </c>
      <c r="B58" s="24">
        <v>1.0436634717784881</v>
      </c>
      <c r="C58" s="24">
        <v>1.0995732574679939</v>
      </c>
      <c r="D58" s="24">
        <v>1.038297872340425</v>
      </c>
      <c r="E58" s="24">
        <v>1.0183387270765909</v>
      </c>
      <c r="F58" s="25">
        <f t="shared" si="4"/>
        <v>1.0252357106660763</v>
      </c>
      <c r="G58" s="25">
        <f t="shared" si="4"/>
        <v>1.0001621749061815</v>
      </c>
      <c r="H58" s="25">
        <f t="shared" si="4"/>
        <v>1.0254065126672189</v>
      </c>
      <c r="I58" s="25">
        <f t="shared" si="4"/>
        <v>1.07164306337372</v>
      </c>
      <c r="J58" s="25">
        <f t="shared" si="4"/>
        <v>1.0815336387645904</v>
      </c>
      <c r="K58" s="25">
        <f t="shared" si="4"/>
        <v>1.1314360809874828</v>
      </c>
      <c r="L58" s="25">
        <f t="shared" si="4"/>
        <v>1.2658323501930111</v>
      </c>
      <c r="M58" s="2">
        <v>97.7</v>
      </c>
      <c r="N58" s="27">
        <f t="shared" si="3"/>
        <v>95.784313725490193</v>
      </c>
      <c r="O58" s="26">
        <v>0.97544642857142871</v>
      </c>
      <c r="P58" s="2">
        <v>154.80000000000001</v>
      </c>
      <c r="Q58" s="2">
        <v>154.80000000000001</v>
      </c>
      <c r="R58" s="2">
        <v>156.5</v>
      </c>
      <c r="S58" s="2">
        <v>1337.7276815166999</v>
      </c>
      <c r="T58" s="2">
        <v>100.8</v>
      </c>
      <c r="U58" s="27"/>
      <c r="V58" s="2">
        <v>100.8</v>
      </c>
      <c r="W58" s="27"/>
      <c r="X58" s="2">
        <v>73.5</v>
      </c>
      <c r="Y58" s="3"/>
    </row>
    <row r="59" spans="1:25" ht="14.4" x14ac:dyDescent="0.3">
      <c r="A59" s="5">
        <v>43709</v>
      </c>
      <c r="B59" s="24">
        <v>1.0436634717784881</v>
      </c>
      <c r="C59" s="24">
        <v>1.0938833570412521</v>
      </c>
      <c r="D59" s="24">
        <v>1.037234042553191</v>
      </c>
      <c r="E59" s="24">
        <v>1.0183387270765909</v>
      </c>
      <c r="F59" s="25">
        <f t="shared" si="4"/>
        <v>1.0242792950618205</v>
      </c>
      <c r="G59" s="25">
        <f t="shared" si="4"/>
        <v>0.99941695602346381</v>
      </c>
      <c r="H59" s="25">
        <f t="shared" si="4"/>
        <v>1.0256220937644764</v>
      </c>
      <c r="I59" s="25">
        <f t="shared" si="4"/>
        <v>1.0706424824251153</v>
      </c>
      <c r="J59" s="25">
        <f t="shared" si="4"/>
        <v>1.0772851758220712</v>
      </c>
      <c r="K59" s="25">
        <f t="shared" si="4"/>
        <v>1.1311579450261247</v>
      </c>
      <c r="L59" s="25">
        <f t="shared" si="4"/>
        <v>1.2692743551473253</v>
      </c>
      <c r="M59" s="2">
        <v>99.5</v>
      </c>
      <c r="N59" s="27">
        <f t="shared" si="3"/>
        <v>97.549019607843135</v>
      </c>
      <c r="O59" s="26">
        <v>0.96986607142857151</v>
      </c>
      <c r="P59" s="2">
        <v>154.80000000000001</v>
      </c>
      <c r="Q59" s="2">
        <v>154.80000000000001</v>
      </c>
      <c r="R59" s="2">
        <v>156.5</v>
      </c>
      <c r="S59" s="2">
        <v>1346.917950733</v>
      </c>
      <c r="T59" s="2">
        <v>100.8</v>
      </c>
      <c r="U59" s="27"/>
      <c r="V59" s="2">
        <v>100.8</v>
      </c>
      <c r="W59" s="27"/>
      <c r="X59" s="2">
        <v>76.400000000000006</v>
      </c>
      <c r="Y59" s="3"/>
    </row>
    <row r="60" spans="1:25" ht="14.4" x14ac:dyDescent="0.3">
      <c r="A60" s="5">
        <v>43739</v>
      </c>
      <c r="B60" s="24">
        <v>1.0436634717784881</v>
      </c>
      <c r="C60" s="24">
        <v>1.075391180654339</v>
      </c>
      <c r="D60" s="24">
        <v>1.03936170212766</v>
      </c>
      <c r="E60" s="24">
        <v>1.0161812297734629</v>
      </c>
      <c r="F60" s="25">
        <f t="shared" si="4"/>
        <v>1.0233228794575646</v>
      </c>
      <c r="G60" s="25">
        <f t="shared" si="4"/>
        <v>0.99867173714074609</v>
      </c>
      <c r="H60" s="25">
        <f t="shared" si="4"/>
        <v>1.0258376748617339</v>
      </c>
      <c r="I60" s="25">
        <f t="shared" si="4"/>
        <v>1.0696419014765104</v>
      </c>
      <c r="J60" s="25">
        <f t="shared" si="4"/>
        <v>1.0730367128795519</v>
      </c>
      <c r="K60" s="25">
        <f t="shared" si="4"/>
        <v>1.1308798090647667</v>
      </c>
      <c r="L60" s="25">
        <f t="shared" si="4"/>
        <v>1.2727163601016396</v>
      </c>
      <c r="M60" s="2">
        <v>103.6</v>
      </c>
      <c r="N60" s="27">
        <f t="shared" si="3"/>
        <v>101.56862745098039</v>
      </c>
      <c r="O60" s="26">
        <v>0.96875</v>
      </c>
      <c r="P60" s="2">
        <v>154.80000000000001</v>
      </c>
      <c r="Q60" s="2">
        <v>154.80000000000001</v>
      </c>
      <c r="R60" s="2">
        <v>156.5</v>
      </c>
      <c r="S60" s="2">
        <v>1133.59377740632</v>
      </c>
      <c r="T60" s="2">
        <v>100.9</v>
      </c>
      <c r="U60" s="27"/>
      <c r="V60" s="2">
        <v>100.9</v>
      </c>
      <c r="W60" s="27"/>
      <c r="X60" s="2">
        <v>70.8</v>
      </c>
      <c r="Y60" s="3"/>
    </row>
    <row r="61" spans="1:25" ht="14.4" x14ac:dyDescent="0.3">
      <c r="A61" s="5">
        <v>43770</v>
      </c>
      <c r="B61" s="24">
        <v>1.042598509052183</v>
      </c>
      <c r="C61" s="24">
        <v>1.0583214793741109</v>
      </c>
      <c r="D61" s="24">
        <v>1.03936170212766</v>
      </c>
      <c r="E61" s="24">
        <v>1.015102481121898</v>
      </c>
      <c r="F61" s="25">
        <f t="shared" si="4"/>
        <v>1.0223664638533088</v>
      </c>
      <c r="G61" s="25">
        <f t="shared" si="4"/>
        <v>0.99792651825802836</v>
      </c>
      <c r="H61" s="25">
        <f t="shared" si="4"/>
        <v>1.0260532559589914</v>
      </c>
      <c r="I61" s="25">
        <f t="shared" si="4"/>
        <v>1.0686413205279057</v>
      </c>
      <c r="J61" s="25">
        <f t="shared" si="4"/>
        <v>1.0687882499370327</v>
      </c>
      <c r="K61" s="25">
        <f t="shared" si="4"/>
        <v>1.1306016731034088</v>
      </c>
      <c r="L61" s="25">
        <f t="shared" si="4"/>
        <v>1.2761583650559536</v>
      </c>
      <c r="M61" s="2">
        <v>106.2</v>
      </c>
      <c r="N61" s="27">
        <f t="shared" si="3"/>
        <v>104.11764705882354</v>
      </c>
      <c r="O61" s="26">
        <v>0.96540178571428581</v>
      </c>
      <c r="P61" s="2">
        <v>154.5</v>
      </c>
      <c r="Q61" s="2">
        <v>154.5</v>
      </c>
      <c r="R61" s="2">
        <v>156.30000000000001</v>
      </c>
      <c r="S61" s="2">
        <v>1154.55418762518</v>
      </c>
      <c r="T61" s="2">
        <v>100.3</v>
      </c>
      <c r="U61" s="27"/>
      <c r="V61" s="2">
        <v>100.3</v>
      </c>
      <c r="W61" s="27"/>
      <c r="X61" s="2">
        <v>73.3</v>
      </c>
      <c r="Y61" s="3"/>
    </row>
    <row r="62" spans="1:25" ht="14.4" x14ac:dyDescent="0.3">
      <c r="A62" s="5">
        <v>43800</v>
      </c>
      <c r="B62" s="24">
        <v>1.0436634717784881</v>
      </c>
      <c r="C62" s="24">
        <v>1.0526315789473679</v>
      </c>
      <c r="D62" s="24">
        <v>1.0404255319148941</v>
      </c>
      <c r="E62" s="24">
        <v>1.0129449838187701</v>
      </c>
      <c r="F62" s="25">
        <f t="shared" si="4"/>
        <v>1.0214100482490529</v>
      </c>
      <c r="G62" s="25">
        <f t="shared" si="4"/>
        <v>0.99718129937531064</v>
      </c>
      <c r="H62" s="25">
        <f t="shared" si="4"/>
        <v>1.0262688370562487</v>
      </c>
      <c r="I62" s="25">
        <f t="shared" si="4"/>
        <v>1.0676407395793008</v>
      </c>
      <c r="J62" s="25">
        <f t="shared" si="4"/>
        <v>1.0645397869945135</v>
      </c>
      <c r="K62" s="25">
        <f t="shared" si="4"/>
        <v>1.1303235371420506</v>
      </c>
      <c r="L62" s="25">
        <f t="shared" si="4"/>
        <v>1.2796003700102678</v>
      </c>
      <c r="M62" s="2">
        <v>104.8</v>
      </c>
      <c r="N62" s="27">
        <f t="shared" si="3"/>
        <v>102.74509803921568</v>
      </c>
      <c r="O62" s="26">
        <v>0.96540178571428581</v>
      </c>
      <c r="P62" s="2">
        <v>154.30000000000001</v>
      </c>
      <c r="Q62" s="2">
        <v>154.30000000000001</v>
      </c>
      <c r="R62" s="2">
        <v>156.30000000000001</v>
      </c>
      <c r="S62" s="2">
        <v>1157.72873338258</v>
      </c>
      <c r="T62" s="2">
        <v>99.6</v>
      </c>
      <c r="U62" s="27"/>
      <c r="V62" s="2">
        <v>99.6</v>
      </c>
      <c r="W62" s="27"/>
      <c r="X62" s="2">
        <v>68.8</v>
      </c>
      <c r="Y62" s="3"/>
    </row>
    <row r="63" spans="1:25" ht="14.4" x14ac:dyDescent="0.3">
      <c r="A63" s="5">
        <v>43831</v>
      </c>
      <c r="B63" s="24">
        <v>1.0436634717784881</v>
      </c>
      <c r="C63" s="24">
        <v>1.04551920341394</v>
      </c>
      <c r="D63" s="24">
        <v>1.03936170212766</v>
      </c>
      <c r="E63" s="24">
        <v>1.0140237324703341</v>
      </c>
      <c r="F63" s="25">
        <f t="shared" si="4"/>
        <v>1.020453632644797</v>
      </c>
      <c r="G63" s="25">
        <f t="shared" si="4"/>
        <v>0.99643608049259291</v>
      </c>
      <c r="H63" s="25">
        <f t="shared" si="4"/>
        <v>1.0264844181535062</v>
      </c>
      <c r="I63" s="25">
        <f t="shared" si="4"/>
        <v>1.0666401586306962</v>
      </c>
      <c r="J63" s="25">
        <f t="shared" si="4"/>
        <v>1.0602913240519942</v>
      </c>
      <c r="K63" s="25">
        <f t="shared" si="4"/>
        <v>1.1300454011806926</v>
      </c>
      <c r="L63" s="25">
        <f t="shared" si="4"/>
        <v>1.2830423749645821</v>
      </c>
      <c r="M63" s="2">
        <v>101.6</v>
      </c>
      <c r="N63" s="27">
        <f t="shared" si="3"/>
        <v>99.607843137254889</v>
      </c>
      <c r="O63" s="26">
        <v>0.96428571428571441</v>
      </c>
      <c r="P63" s="2">
        <v>151.6</v>
      </c>
      <c r="Q63" s="2">
        <v>151.6</v>
      </c>
      <c r="R63" s="2">
        <v>156.30000000000001</v>
      </c>
      <c r="S63" s="2">
        <v>1188.5252312237601</v>
      </c>
      <c r="T63" s="2">
        <v>98.8</v>
      </c>
      <c r="U63" s="27"/>
      <c r="V63" s="2">
        <v>98.8</v>
      </c>
      <c r="W63" s="27"/>
      <c r="X63" s="2">
        <v>68.900000000000006</v>
      </c>
      <c r="Y63" s="3"/>
    </row>
    <row r="64" spans="1:25" ht="14.4" x14ac:dyDescent="0.3">
      <c r="A64" s="5">
        <v>43862</v>
      </c>
      <c r="B64" s="24">
        <v>1.0436634717784881</v>
      </c>
      <c r="C64" s="24">
        <v>1.041251778093883</v>
      </c>
      <c r="D64" s="24">
        <v>1.0404255319148941</v>
      </c>
      <c r="E64" s="24">
        <v>1.0140237324703341</v>
      </c>
      <c r="F64" s="25">
        <f t="shared" si="4"/>
        <v>1.0553625664836035</v>
      </c>
      <c r="G64" s="25">
        <f t="shared" si="4"/>
        <v>1.043519686912326</v>
      </c>
      <c r="H64" s="25">
        <f t="shared" si="4"/>
        <v>1.0859273481243572</v>
      </c>
      <c r="I64" s="25">
        <f t="shared" si="4"/>
        <v>1.0856215661073545</v>
      </c>
      <c r="J64" s="25">
        <f t="shared" si="4"/>
        <v>1.0748926318267713</v>
      </c>
      <c r="K64" s="25">
        <f t="shared" si="4"/>
        <v>1.1519556882021147</v>
      </c>
      <c r="L64" s="25">
        <f t="shared" si="4"/>
        <v>1.3120345236850559</v>
      </c>
      <c r="M64" s="2">
        <v>101.7</v>
      </c>
      <c r="N64" s="27">
        <f t="shared" si="3"/>
        <v>99.705882352941174</v>
      </c>
      <c r="O64" s="26">
        <v>0.96205357142857151</v>
      </c>
      <c r="P64" s="2">
        <v>151.19999999999999</v>
      </c>
      <c r="Q64" s="2">
        <v>151.19999999999999</v>
      </c>
      <c r="R64" s="2">
        <v>158.30000000000001</v>
      </c>
      <c r="S64" s="2">
        <v>1143.0910997645301</v>
      </c>
      <c r="T64" s="2">
        <v>99.7</v>
      </c>
      <c r="U64" s="27"/>
      <c r="V64" s="2">
        <v>99.7</v>
      </c>
      <c r="W64" s="27"/>
      <c r="X64" s="2">
        <v>68.3</v>
      </c>
      <c r="Y64" s="3"/>
    </row>
    <row r="65" spans="1:25" ht="14.4" x14ac:dyDescent="0.3">
      <c r="A65" s="5">
        <v>43891</v>
      </c>
      <c r="B65" s="24">
        <v>1.042598509052183</v>
      </c>
      <c r="C65" s="24">
        <v>1.0369843527738269</v>
      </c>
      <c r="D65" s="24">
        <v>1.0404255319148941</v>
      </c>
      <c r="E65" s="24">
        <v>1.0140237324703341</v>
      </c>
      <c r="F65" s="25">
        <f t="shared" si="4"/>
        <v>1.0902715003224099</v>
      </c>
      <c r="G65" s="25">
        <f t="shared" si="4"/>
        <v>1.0906032933320593</v>
      </c>
      <c r="H65" s="25">
        <f t="shared" si="4"/>
        <v>1.1453702780952084</v>
      </c>
      <c r="I65" s="25">
        <f t="shared" si="4"/>
        <v>1.1046029735840128</v>
      </c>
      <c r="J65" s="25">
        <f t="shared" si="4"/>
        <v>1.0894939396015484</v>
      </c>
      <c r="K65" s="25">
        <f t="shared" si="4"/>
        <v>1.1738659752235368</v>
      </c>
      <c r="L65" s="25">
        <f t="shared" si="4"/>
        <v>1.3410266724055298</v>
      </c>
      <c r="M65" s="2">
        <v>100.7</v>
      </c>
      <c r="N65" s="27">
        <f t="shared" si="3"/>
        <v>98.725490196078439</v>
      </c>
      <c r="O65" s="26">
        <v>0.9520089285714286</v>
      </c>
      <c r="P65" s="2">
        <v>150.6</v>
      </c>
      <c r="Q65" s="2">
        <v>150.6</v>
      </c>
      <c r="R65" s="2">
        <v>158.30000000000001</v>
      </c>
      <c r="S65" s="2">
        <v>1008.14557126587</v>
      </c>
      <c r="T65" s="2">
        <v>99.5</v>
      </c>
      <c r="U65" s="27"/>
      <c r="V65" s="2">
        <v>99.5</v>
      </c>
      <c r="W65" s="27"/>
      <c r="X65" s="2">
        <v>70.2</v>
      </c>
      <c r="Y65" s="3"/>
    </row>
    <row r="66" spans="1:25" ht="14.4" x14ac:dyDescent="0.3">
      <c r="A66" s="5">
        <v>43922</v>
      </c>
      <c r="B66" s="24">
        <v>1.0436634717784881</v>
      </c>
      <c r="C66" s="24">
        <v>1.0369843527738269</v>
      </c>
      <c r="D66" s="24">
        <v>1.042553191489362</v>
      </c>
      <c r="E66" s="24">
        <v>1.015102481121898</v>
      </c>
      <c r="F66" s="25">
        <f t="shared" si="4"/>
        <v>1.1251804341612162</v>
      </c>
      <c r="G66" s="25">
        <f t="shared" si="4"/>
        <v>1.1376868997517924</v>
      </c>
      <c r="H66" s="25">
        <f t="shared" si="4"/>
        <v>1.2048132080660594</v>
      </c>
      <c r="I66" s="25">
        <f t="shared" si="4"/>
        <v>1.1235843810606714</v>
      </c>
      <c r="J66" s="25">
        <f t="shared" si="4"/>
        <v>1.1040952473763255</v>
      </c>
      <c r="K66" s="25">
        <f t="shared" si="4"/>
        <v>1.1957762622449588</v>
      </c>
      <c r="L66" s="25">
        <f t="shared" si="4"/>
        <v>1.3700188211260036</v>
      </c>
      <c r="M66" s="2">
        <v>99.8</v>
      </c>
      <c r="N66" s="27">
        <f t="shared" si="3"/>
        <v>97.843137254901961</v>
      </c>
      <c r="O66" s="26">
        <v>0.94531250000000011</v>
      </c>
      <c r="P66" s="2">
        <v>150.6</v>
      </c>
      <c r="Q66" s="2">
        <v>150.6</v>
      </c>
      <c r="R66" s="2">
        <v>158.30000000000001</v>
      </c>
      <c r="S66" s="2">
        <v>893.98485929992</v>
      </c>
      <c r="T66" s="2">
        <v>100.1</v>
      </c>
      <c r="U66" s="27"/>
      <c r="V66" s="2">
        <v>100.1</v>
      </c>
      <c r="W66" s="27"/>
      <c r="X66" s="2">
        <v>67.3</v>
      </c>
      <c r="Y66" s="3"/>
    </row>
    <row r="67" spans="1:25" ht="14.4" x14ac:dyDescent="0.3">
      <c r="A67" s="5">
        <v>43952</v>
      </c>
      <c r="B67" s="24">
        <v>1.0436634717784881</v>
      </c>
      <c r="C67" s="24">
        <v>1.028449502133713</v>
      </c>
      <c r="D67" s="24">
        <v>1.0436170212765961</v>
      </c>
      <c r="E67" s="24">
        <v>1.0107874865156421</v>
      </c>
      <c r="F67" s="25">
        <f t="shared" si="4"/>
        <v>1.1600893680000226</v>
      </c>
      <c r="G67" s="25">
        <f t="shared" si="4"/>
        <v>1.1847705061715255</v>
      </c>
      <c r="H67" s="25">
        <f t="shared" si="4"/>
        <v>1.2642561380369104</v>
      </c>
      <c r="I67" s="25">
        <f t="shared" si="4"/>
        <v>1.1425657885373297</v>
      </c>
      <c r="J67" s="25">
        <f t="shared" si="4"/>
        <v>1.1186965551511026</v>
      </c>
      <c r="K67" s="25">
        <f t="shared" si="4"/>
        <v>1.2176865492663809</v>
      </c>
      <c r="L67" s="25">
        <f t="shared" si="4"/>
        <v>1.3990109698464774</v>
      </c>
      <c r="M67" s="2">
        <v>99</v>
      </c>
      <c r="N67" s="27">
        <f t="shared" si="3"/>
        <v>97.058823529411768</v>
      </c>
      <c r="O67" s="26">
        <v>0.93415178571428581</v>
      </c>
      <c r="P67" s="2">
        <v>150.6</v>
      </c>
      <c r="Q67" s="2">
        <v>150.6</v>
      </c>
      <c r="R67" s="2">
        <v>158.30000000000001</v>
      </c>
      <c r="S67" s="2">
        <v>805.25872793584995</v>
      </c>
      <c r="T67" s="2">
        <v>98.3</v>
      </c>
      <c r="U67" s="27"/>
      <c r="V67" s="2">
        <v>98.3</v>
      </c>
      <c r="W67" s="27"/>
      <c r="X67" s="2">
        <v>71.5</v>
      </c>
      <c r="Y67" s="3"/>
    </row>
    <row r="68" spans="1:25" ht="14.4" x14ac:dyDescent="0.3">
      <c r="A68" s="5">
        <v>43983</v>
      </c>
      <c r="B68" s="24">
        <v>1.0404685835995739</v>
      </c>
      <c r="C68" s="24">
        <v>1.0170697012802279</v>
      </c>
      <c r="D68" s="24">
        <v>1.042553191489362</v>
      </c>
      <c r="E68" s="24">
        <v>1.008629989212513</v>
      </c>
      <c r="F68" s="25">
        <f t="shared" si="4"/>
        <v>1.194998301838829</v>
      </c>
      <c r="G68" s="25">
        <f t="shared" si="4"/>
        <v>1.2318541125912588</v>
      </c>
      <c r="H68" s="25">
        <f t="shared" si="4"/>
        <v>1.3236990680077614</v>
      </c>
      <c r="I68" s="25">
        <f t="shared" si="4"/>
        <v>1.161547196013988</v>
      </c>
      <c r="J68" s="25">
        <f t="shared" si="4"/>
        <v>1.1332978629258796</v>
      </c>
      <c r="K68" s="25">
        <f t="shared" si="4"/>
        <v>1.2395968362878029</v>
      </c>
      <c r="L68" s="25">
        <f t="shared" si="4"/>
        <v>1.4280031185669513</v>
      </c>
      <c r="M68" s="2">
        <v>99.6</v>
      </c>
      <c r="N68" s="27">
        <f t="shared" ref="N68:N131" si="5">M68/$M$3*100</f>
        <v>97.647058823529406</v>
      </c>
      <c r="O68" s="26">
        <v>0.92857142857142871</v>
      </c>
      <c r="P68" s="2">
        <v>150.6</v>
      </c>
      <c r="Q68" s="2">
        <v>150.6</v>
      </c>
      <c r="R68" s="2">
        <v>158.30000000000001</v>
      </c>
      <c r="S68" s="2">
        <v>815.43042049151995</v>
      </c>
      <c r="T68" s="2">
        <v>97.5</v>
      </c>
      <c r="U68" s="27"/>
      <c r="V68" s="2">
        <v>97.5</v>
      </c>
      <c r="W68" s="27"/>
      <c r="X68" s="2">
        <v>70.599999999999994</v>
      </c>
      <c r="Y68" s="3"/>
    </row>
    <row r="69" spans="1:25" ht="14.4" x14ac:dyDescent="0.3">
      <c r="A69" s="5">
        <v>44013</v>
      </c>
      <c r="B69" s="24">
        <v>1.0362087326943561</v>
      </c>
      <c r="C69" s="24">
        <v>1.005689900426743</v>
      </c>
      <c r="D69" s="24">
        <v>1.042553191489362</v>
      </c>
      <c r="E69" s="24">
        <v>1.005393743257821</v>
      </c>
      <c r="F69" s="25">
        <f t="shared" ref="F69:L99" si="6">VLOOKUP(YEAR($A69),_HOUT_INDEX_TAB,COLUMN(A67)+1,FALSE)+(VLOOKUP(YEAR($A69)+1,_HOUT_INDEX_TAB,COLUMN(A67)+1,FALSE)-VLOOKUP(YEAR($A69),_HOUT_INDEX_TAB,COLUMN(A67)+1,FALSE))*((MONTH($A69)-1)/12)</f>
        <v>1.2299072356776355</v>
      </c>
      <c r="G69" s="25">
        <f t="shared" si="6"/>
        <v>1.2789377190109918</v>
      </c>
      <c r="H69" s="25">
        <f t="shared" si="6"/>
        <v>1.3831419979786124</v>
      </c>
      <c r="I69" s="25">
        <f t="shared" si="6"/>
        <v>1.1805286034906466</v>
      </c>
      <c r="J69" s="25">
        <f t="shared" si="6"/>
        <v>1.1478991707006565</v>
      </c>
      <c r="K69" s="25">
        <f t="shared" si="6"/>
        <v>1.261507123309225</v>
      </c>
      <c r="L69" s="25">
        <f t="shared" si="6"/>
        <v>1.4569952672874251</v>
      </c>
      <c r="M69" s="2">
        <v>99.2</v>
      </c>
      <c r="N69" s="27">
        <f t="shared" si="5"/>
        <v>97.254901960784309</v>
      </c>
      <c r="O69" s="26">
        <v>0.921875</v>
      </c>
      <c r="P69" s="2">
        <v>150.6</v>
      </c>
      <c r="Q69" s="2">
        <v>150.6</v>
      </c>
      <c r="R69" s="2">
        <v>158.30000000000001</v>
      </c>
      <c r="S69" s="2">
        <v>822.49418713634998</v>
      </c>
      <c r="T69" s="2">
        <v>99.2</v>
      </c>
      <c r="U69" s="27"/>
      <c r="V69" s="2">
        <v>99.2</v>
      </c>
      <c r="W69" s="27"/>
      <c r="X69" s="2">
        <v>74.3</v>
      </c>
      <c r="Y69" s="3"/>
    </row>
    <row r="70" spans="1:25" ht="14.4" x14ac:dyDescent="0.3">
      <c r="A70" s="5">
        <v>44044</v>
      </c>
      <c r="B70" s="24">
        <v>1.0372736954206601</v>
      </c>
      <c r="C70" s="24">
        <v>1.001422475106686</v>
      </c>
      <c r="D70" s="24">
        <v>1.0436170212765961</v>
      </c>
      <c r="E70" s="24">
        <v>1.005393743257821</v>
      </c>
      <c r="F70" s="25">
        <f t="shared" si="6"/>
        <v>1.2648161695164419</v>
      </c>
      <c r="G70" s="25">
        <f t="shared" si="6"/>
        <v>1.3260213254307249</v>
      </c>
      <c r="H70" s="25">
        <f t="shared" si="6"/>
        <v>1.4425849279494636</v>
      </c>
      <c r="I70" s="25">
        <f t="shared" si="6"/>
        <v>1.1995100109673049</v>
      </c>
      <c r="J70" s="25">
        <f t="shared" si="6"/>
        <v>1.1625004784754336</v>
      </c>
      <c r="K70" s="25">
        <f t="shared" si="6"/>
        <v>1.2834174103306473</v>
      </c>
      <c r="L70" s="25">
        <f t="shared" si="6"/>
        <v>1.4859874160078992</v>
      </c>
      <c r="M70" s="2">
        <v>97.7</v>
      </c>
      <c r="N70" s="27">
        <f t="shared" si="5"/>
        <v>95.784313725490193</v>
      </c>
      <c r="O70" s="26">
        <v>0.92299107142857151</v>
      </c>
      <c r="P70" s="2">
        <v>139</v>
      </c>
      <c r="Q70" s="2">
        <v>139</v>
      </c>
      <c r="R70" s="2">
        <v>158.30000000000001</v>
      </c>
      <c r="S70" s="2">
        <v>719.47685738881898</v>
      </c>
      <c r="T70" s="2">
        <v>98.4</v>
      </c>
      <c r="U70" s="27"/>
      <c r="V70" s="2">
        <v>98.4</v>
      </c>
      <c r="W70" s="27"/>
      <c r="X70" s="2">
        <v>68.8</v>
      </c>
      <c r="Y70" s="3"/>
    </row>
    <row r="71" spans="1:25" ht="14.4" x14ac:dyDescent="0.3">
      <c r="A71" s="5">
        <v>44075</v>
      </c>
      <c r="B71" s="24">
        <v>1.0372736954206601</v>
      </c>
      <c r="C71" s="24">
        <v>1.004267425320057</v>
      </c>
      <c r="D71" s="24">
        <v>1.05</v>
      </c>
      <c r="E71" s="24">
        <v>1.006472491909385</v>
      </c>
      <c r="F71" s="25">
        <f t="shared" si="6"/>
        <v>1.2997251033552484</v>
      </c>
      <c r="G71" s="25">
        <f t="shared" si="6"/>
        <v>1.3731049318504582</v>
      </c>
      <c r="H71" s="25">
        <f t="shared" si="6"/>
        <v>1.5020278579203146</v>
      </c>
      <c r="I71" s="25">
        <f t="shared" si="6"/>
        <v>1.2184914184439632</v>
      </c>
      <c r="J71" s="25">
        <f t="shared" si="6"/>
        <v>1.1771017862502107</v>
      </c>
      <c r="K71" s="25">
        <f t="shared" si="6"/>
        <v>1.3053276973520693</v>
      </c>
      <c r="L71" s="25">
        <f t="shared" si="6"/>
        <v>1.514979564728373</v>
      </c>
      <c r="M71" s="2">
        <v>98.6</v>
      </c>
      <c r="N71" s="27">
        <f t="shared" si="5"/>
        <v>96.666666666666657</v>
      </c>
      <c r="O71" s="26">
        <v>0.92857142857142871</v>
      </c>
      <c r="P71" s="2">
        <v>138.1</v>
      </c>
      <c r="Q71" s="2">
        <v>138.1</v>
      </c>
      <c r="R71" s="2">
        <v>158.30000000000001</v>
      </c>
      <c r="S71" s="2">
        <v>606.81693548691999</v>
      </c>
      <c r="T71" s="2">
        <v>100.8</v>
      </c>
      <c r="U71" s="27"/>
      <c r="V71" s="2">
        <v>100.8</v>
      </c>
      <c r="W71" s="27"/>
      <c r="X71" s="2">
        <v>68.7</v>
      </c>
      <c r="Y71" s="3"/>
    </row>
    <row r="72" spans="1:25" ht="14.4" x14ac:dyDescent="0.3">
      <c r="A72" s="5">
        <v>44105</v>
      </c>
      <c r="B72" s="24">
        <v>1.0372736954206601</v>
      </c>
      <c r="C72" s="24">
        <v>1.0128022759601709</v>
      </c>
      <c r="D72" s="24">
        <v>1.05</v>
      </c>
      <c r="E72" s="24">
        <v>1.007551240560949</v>
      </c>
      <c r="F72" s="25">
        <f t="shared" si="6"/>
        <v>1.3346340371940548</v>
      </c>
      <c r="G72" s="25">
        <f t="shared" si="6"/>
        <v>1.4201885382701913</v>
      </c>
      <c r="H72" s="25">
        <f t="shared" si="6"/>
        <v>1.5614707878911656</v>
      </c>
      <c r="I72" s="25">
        <f t="shared" si="6"/>
        <v>1.2374728259206216</v>
      </c>
      <c r="J72" s="25">
        <f t="shared" si="6"/>
        <v>1.1917030940249878</v>
      </c>
      <c r="K72" s="25">
        <f t="shared" si="6"/>
        <v>1.3272379843734914</v>
      </c>
      <c r="L72" s="25">
        <f t="shared" si="6"/>
        <v>1.5439717134488469</v>
      </c>
      <c r="M72" s="2">
        <v>99.9</v>
      </c>
      <c r="N72" s="27">
        <f t="shared" si="5"/>
        <v>97.941176470588246</v>
      </c>
      <c r="O72" s="26">
        <v>0.93526785714285721</v>
      </c>
      <c r="P72" s="2">
        <v>128.4</v>
      </c>
      <c r="Q72" s="2">
        <v>128.4</v>
      </c>
      <c r="R72" s="2">
        <v>158.30000000000001</v>
      </c>
      <c r="S72" s="2">
        <v>766.84371280081405</v>
      </c>
      <c r="T72" s="2">
        <v>101.9</v>
      </c>
      <c r="U72" s="27"/>
      <c r="V72" s="2">
        <v>101.9</v>
      </c>
      <c r="W72" s="27"/>
      <c r="X72" s="2">
        <v>64.900000000000006</v>
      </c>
      <c r="Y72" s="3"/>
    </row>
    <row r="73" spans="1:25" ht="14.4" x14ac:dyDescent="0.3">
      <c r="A73" s="5">
        <v>44136</v>
      </c>
      <c r="B73" s="24">
        <v>1.0362087326943561</v>
      </c>
      <c r="C73" s="24">
        <v>1.02275960170697</v>
      </c>
      <c r="D73" s="24">
        <v>1.0478723404255319</v>
      </c>
      <c r="E73" s="24">
        <v>1.007551240560949</v>
      </c>
      <c r="F73" s="25">
        <f t="shared" si="6"/>
        <v>1.3695429710328613</v>
      </c>
      <c r="G73" s="25">
        <f t="shared" si="6"/>
        <v>1.4672721446899244</v>
      </c>
      <c r="H73" s="25">
        <f t="shared" si="6"/>
        <v>1.6209137178620168</v>
      </c>
      <c r="I73" s="25">
        <f t="shared" si="6"/>
        <v>1.2564542333972799</v>
      </c>
      <c r="J73" s="25">
        <f t="shared" si="6"/>
        <v>1.2063044017997648</v>
      </c>
      <c r="K73" s="25">
        <f t="shared" si="6"/>
        <v>1.3491482713949134</v>
      </c>
      <c r="L73" s="25">
        <f t="shared" si="6"/>
        <v>1.5729638621693207</v>
      </c>
      <c r="M73" s="2">
        <v>100.1</v>
      </c>
      <c r="N73" s="27">
        <f t="shared" si="5"/>
        <v>98.137254901960773</v>
      </c>
      <c r="O73" s="26">
        <v>0.94754464285714302</v>
      </c>
      <c r="P73" s="2">
        <v>127.1</v>
      </c>
      <c r="Q73" s="2">
        <v>127.1</v>
      </c>
      <c r="R73" s="2">
        <v>158.30000000000001</v>
      </c>
      <c r="S73" s="2">
        <v>822.58707195376201</v>
      </c>
      <c r="T73" s="2">
        <v>101.3</v>
      </c>
      <c r="U73" s="27"/>
      <c r="V73" s="2">
        <v>101.3</v>
      </c>
      <c r="W73" s="27"/>
      <c r="X73" s="2">
        <v>67.7</v>
      </c>
      <c r="Y73" s="3"/>
    </row>
    <row r="74" spans="1:25" ht="14.4" x14ac:dyDescent="0.3">
      <c r="A74" s="5">
        <v>44166</v>
      </c>
      <c r="B74" s="24">
        <v>1.0362087326943561</v>
      </c>
      <c r="C74" s="24">
        <v>1.041251778093883</v>
      </c>
      <c r="D74" s="24">
        <v>1.0478723404255319</v>
      </c>
      <c r="E74" s="24">
        <v>1.007551240560949</v>
      </c>
      <c r="F74" s="25">
        <f t="shared" si="6"/>
        <v>1.4044519048716675</v>
      </c>
      <c r="G74" s="25">
        <f t="shared" si="6"/>
        <v>1.5143557511096577</v>
      </c>
      <c r="H74" s="25">
        <f t="shared" si="6"/>
        <v>1.6803566478328675</v>
      </c>
      <c r="I74" s="25">
        <f t="shared" si="6"/>
        <v>1.2754356408739385</v>
      </c>
      <c r="J74" s="25">
        <f t="shared" si="6"/>
        <v>1.2209057095745419</v>
      </c>
      <c r="K74" s="25">
        <f t="shared" si="6"/>
        <v>1.3710585584163355</v>
      </c>
      <c r="L74" s="25">
        <f t="shared" si="6"/>
        <v>1.6019560108897946</v>
      </c>
      <c r="M74" s="2">
        <v>101.2</v>
      </c>
      <c r="N74" s="27">
        <f t="shared" si="5"/>
        <v>99.215686274509807</v>
      </c>
      <c r="O74" s="26">
        <v>0.96205357142857151</v>
      </c>
      <c r="P74" s="2">
        <v>125.7</v>
      </c>
      <c r="Q74" s="2">
        <v>125.7</v>
      </c>
      <c r="R74" s="2">
        <v>158.30000000000001</v>
      </c>
      <c r="S74" s="2">
        <v>842.78407219159999</v>
      </c>
      <c r="T74" s="2">
        <v>104.1</v>
      </c>
      <c r="U74" s="27"/>
      <c r="V74" s="2">
        <v>104.1</v>
      </c>
      <c r="W74" s="27"/>
      <c r="X74" s="2">
        <v>70.3</v>
      </c>
      <c r="Y74" s="3"/>
    </row>
    <row r="75" spans="1:25" ht="14.4" x14ac:dyDescent="0.3">
      <c r="A75" s="5">
        <v>44197</v>
      </c>
      <c r="B75" s="24">
        <v>1.0383386581469649</v>
      </c>
      <c r="C75" s="24">
        <v>1.1038406827880509</v>
      </c>
      <c r="D75" s="24">
        <v>1.0478723404255319</v>
      </c>
      <c r="E75" s="24">
        <v>1.0140237324703341</v>
      </c>
      <c r="F75" s="25">
        <f t="shared" si="6"/>
        <v>1.4393608387104739</v>
      </c>
      <c r="G75" s="25">
        <f t="shared" si="6"/>
        <v>1.5614393575293908</v>
      </c>
      <c r="H75" s="25">
        <f t="shared" si="6"/>
        <v>1.7397995778037187</v>
      </c>
      <c r="I75" s="25">
        <f t="shared" si="6"/>
        <v>1.2944170483505968</v>
      </c>
      <c r="J75" s="25">
        <f t="shared" si="6"/>
        <v>1.235507017349319</v>
      </c>
      <c r="K75" s="25">
        <f t="shared" si="6"/>
        <v>1.3929688454377576</v>
      </c>
      <c r="L75" s="25">
        <f t="shared" si="6"/>
        <v>1.6309481596102684</v>
      </c>
      <c r="M75" s="2">
        <v>103.1</v>
      </c>
      <c r="N75" s="27">
        <f t="shared" si="5"/>
        <v>101.07843137254902</v>
      </c>
      <c r="O75" s="26">
        <v>0.97656250000000011</v>
      </c>
      <c r="P75" s="2">
        <v>125.7</v>
      </c>
      <c r="Q75" s="2">
        <v>125.7</v>
      </c>
      <c r="R75" s="2">
        <v>158.30000000000001</v>
      </c>
      <c r="S75" s="2">
        <v>862.09944162732495</v>
      </c>
      <c r="T75" s="2">
        <v>104.3</v>
      </c>
      <c r="U75" s="27"/>
      <c r="V75" s="2">
        <v>104.3</v>
      </c>
      <c r="W75" s="27"/>
      <c r="X75" s="2">
        <v>69.400000000000006</v>
      </c>
      <c r="Y75" s="3"/>
    </row>
    <row r="76" spans="1:25" ht="14.4" x14ac:dyDescent="0.3">
      <c r="A76" s="5">
        <v>44228</v>
      </c>
      <c r="B76" s="24">
        <v>1.0404685835995739</v>
      </c>
      <c r="C76" s="24">
        <v>1.1564722617354199</v>
      </c>
      <c r="D76" s="24">
        <v>1.048936170212766</v>
      </c>
      <c r="E76" s="24">
        <v>1.02049622437972</v>
      </c>
      <c r="F76" s="25">
        <f t="shared" si="6"/>
        <v>1.4188873503406267</v>
      </c>
      <c r="G76" s="25">
        <f t="shared" si="6"/>
        <v>1.5355493038088102</v>
      </c>
      <c r="H76" s="25">
        <f t="shared" si="6"/>
        <v>1.7065301996993387</v>
      </c>
      <c r="I76" s="25">
        <f t="shared" si="6"/>
        <v>1.2778442155016831</v>
      </c>
      <c r="J76" s="25">
        <f t="shared" si="6"/>
        <v>1.2227782904721096</v>
      </c>
      <c r="K76" s="25">
        <f t="shared" si="6"/>
        <v>1.3787395895666004</v>
      </c>
      <c r="L76" s="25">
        <f t="shared" si="6"/>
        <v>1.6127849133478209</v>
      </c>
      <c r="M76" s="2">
        <v>106.9</v>
      </c>
      <c r="N76" s="27">
        <f t="shared" si="5"/>
        <v>104.80392156862746</v>
      </c>
      <c r="O76" s="26">
        <v>0.9888392857142857</v>
      </c>
      <c r="P76" s="2">
        <v>126.4</v>
      </c>
      <c r="Q76" s="2">
        <v>126.4</v>
      </c>
      <c r="R76" s="2">
        <v>158.30000000000001</v>
      </c>
      <c r="S76" s="2">
        <v>921.83054608578595</v>
      </c>
      <c r="T76" s="2">
        <v>105.7</v>
      </c>
      <c r="U76" s="27"/>
      <c r="V76" s="2">
        <v>105.7</v>
      </c>
      <c r="W76" s="27"/>
      <c r="X76" s="2">
        <v>71.3</v>
      </c>
      <c r="Y76" s="3"/>
    </row>
    <row r="77" spans="1:25" ht="14.4" x14ac:dyDescent="0.3">
      <c r="A77" s="5">
        <v>44256</v>
      </c>
      <c r="B77" s="24">
        <v>1.0436634717784881</v>
      </c>
      <c r="C77" s="24">
        <v>1.197724039829303</v>
      </c>
      <c r="D77" s="24">
        <v>1.0542553191489361</v>
      </c>
      <c r="E77" s="24">
        <v>1.0334412081984901</v>
      </c>
      <c r="F77" s="25">
        <f t="shared" si="6"/>
        <v>1.3984138619707795</v>
      </c>
      <c r="G77" s="25">
        <f t="shared" si="6"/>
        <v>1.5096592500882293</v>
      </c>
      <c r="H77" s="25">
        <f t="shared" si="6"/>
        <v>1.6732608215949587</v>
      </c>
      <c r="I77" s="25">
        <f t="shared" si="6"/>
        <v>1.2612713826527693</v>
      </c>
      <c r="J77" s="25">
        <f t="shared" si="6"/>
        <v>1.2100495635949002</v>
      </c>
      <c r="K77" s="25">
        <f t="shared" si="6"/>
        <v>1.3645103336954429</v>
      </c>
      <c r="L77" s="25">
        <f t="shared" si="6"/>
        <v>1.5946216670853735</v>
      </c>
      <c r="M77" s="2">
        <v>112.4</v>
      </c>
      <c r="N77" s="27">
        <f t="shared" si="5"/>
        <v>110.19607843137256</v>
      </c>
      <c r="O77" s="26">
        <v>1.010044642857143</v>
      </c>
      <c r="P77" s="2">
        <v>124.4</v>
      </c>
      <c r="Q77" s="2">
        <v>124.4</v>
      </c>
      <c r="R77" s="2">
        <v>158.30000000000001</v>
      </c>
      <c r="S77" s="2">
        <v>946.90778967486403</v>
      </c>
      <c r="T77" s="2">
        <v>109.4</v>
      </c>
      <c r="U77" s="27"/>
      <c r="V77" s="2">
        <v>109.4</v>
      </c>
      <c r="W77" s="27"/>
      <c r="X77" s="2">
        <v>72.8</v>
      </c>
      <c r="Y77" s="3"/>
    </row>
    <row r="78" spans="1:25" ht="14.4" x14ac:dyDescent="0.3">
      <c r="A78" s="5">
        <v>44287</v>
      </c>
      <c r="B78" s="24">
        <v>1.050053248136315</v>
      </c>
      <c r="C78" s="24">
        <v>1.2574679943100999</v>
      </c>
      <c r="D78" s="24">
        <v>1.056382978723404</v>
      </c>
      <c r="E78" s="24">
        <v>1.0539374325782089</v>
      </c>
      <c r="F78" s="25">
        <f t="shared" si="6"/>
        <v>1.3779403736009324</v>
      </c>
      <c r="G78" s="25">
        <f t="shared" si="6"/>
        <v>1.4837691963676487</v>
      </c>
      <c r="H78" s="25">
        <f t="shared" si="6"/>
        <v>1.6399914434905785</v>
      </c>
      <c r="I78" s="25">
        <f t="shared" si="6"/>
        <v>1.2446985498038554</v>
      </c>
      <c r="J78" s="25">
        <f t="shared" si="6"/>
        <v>1.1973208367176909</v>
      </c>
      <c r="K78" s="25">
        <f t="shared" si="6"/>
        <v>1.3502810778242857</v>
      </c>
      <c r="L78" s="25">
        <f t="shared" si="6"/>
        <v>1.576458420822926</v>
      </c>
      <c r="M78" s="2">
        <v>113.9</v>
      </c>
      <c r="N78" s="27">
        <f t="shared" si="5"/>
        <v>111.66666666666667</v>
      </c>
      <c r="O78" s="26">
        <v>1.037946428571429</v>
      </c>
      <c r="P78" s="2">
        <v>125.9</v>
      </c>
      <c r="Q78" s="2">
        <v>125.9</v>
      </c>
      <c r="R78" s="2">
        <v>158.30000000000001</v>
      </c>
      <c r="S78" s="2">
        <v>920.74558802726199</v>
      </c>
      <c r="T78" s="2">
        <v>113.4</v>
      </c>
      <c r="U78" s="27"/>
      <c r="V78" s="2">
        <v>113.4</v>
      </c>
      <c r="W78" s="27"/>
      <c r="X78" s="2">
        <v>77.8</v>
      </c>
      <c r="Y78" s="3"/>
    </row>
    <row r="79" spans="1:25" ht="14.4" x14ac:dyDescent="0.3">
      <c r="A79" s="5">
        <v>44317</v>
      </c>
      <c r="B79" s="24">
        <v>1.054313099041533</v>
      </c>
      <c r="C79" s="24">
        <v>1.318634423897582</v>
      </c>
      <c r="D79" s="24">
        <v>1.056382978723404</v>
      </c>
      <c r="E79" s="24">
        <v>1.0690399137001081</v>
      </c>
      <c r="F79" s="25">
        <f t="shared" si="6"/>
        <v>1.3574668852310852</v>
      </c>
      <c r="G79" s="25">
        <f t="shared" si="6"/>
        <v>1.4578791426470681</v>
      </c>
      <c r="H79" s="25">
        <f t="shared" si="6"/>
        <v>1.6067220653861984</v>
      </c>
      <c r="I79" s="25">
        <f t="shared" si="6"/>
        <v>1.2281257169549418</v>
      </c>
      <c r="J79" s="25">
        <f t="shared" si="6"/>
        <v>1.1845921098404815</v>
      </c>
      <c r="K79" s="25">
        <f t="shared" si="6"/>
        <v>1.3360518219531285</v>
      </c>
      <c r="L79" s="25">
        <f t="shared" si="6"/>
        <v>1.5582951745604785</v>
      </c>
      <c r="M79" s="2">
        <v>116.1</v>
      </c>
      <c r="N79" s="27">
        <f t="shared" si="5"/>
        <v>113.8235294117647</v>
      </c>
      <c r="O79" s="26">
        <v>1.060267857142857</v>
      </c>
      <c r="P79" s="2">
        <v>149.4</v>
      </c>
      <c r="Q79" s="2">
        <v>149.4</v>
      </c>
      <c r="R79" s="2">
        <v>158.30000000000001</v>
      </c>
      <c r="S79" s="2">
        <v>926.25237721649</v>
      </c>
      <c r="T79" s="2">
        <v>117.3</v>
      </c>
      <c r="U79" s="27"/>
      <c r="V79" s="2">
        <v>117.3</v>
      </c>
      <c r="W79" s="27"/>
      <c r="X79" s="2">
        <v>84.5</v>
      </c>
      <c r="Y79" s="3"/>
    </row>
    <row r="80" spans="1:25" ht="14.4" x14ac:dyDescent="0.3">
      <c r="A80" s="5">
        <v>44348</v>
      </c>
      <c r="B80" s="24">
        <v>1.059637912673056</v>
      </c>
      <c r="C80" s="24">
        <v>1.395448079658606</v>
      </c>
      <c r="D80" s="24">
        <v>1.0574468085106381</v>
      </c>
      <c r="E80" s="24">
        <v>1.07982740021575</v>
      </c>
      <c r="F80" s="25">
        <f t="shared" si="6"/>
        <v>1.336993396861238</v>
      </c>
      <c r="G80" s="25">
        <f t="shared" si="6"/>
        <v>1.4319890889264875</v>
      </c>
      <c r="H80" s="25">
        <f t="shared" si="6"/>
        <v>1.5734526872818184</v>
      </c>
      <c r="I80" s="25">
        <f t="shared" si="6"/>
        <v>1.2115528841060281</v>
      </c>
      <c r="J80" s="25">
        <f t="shared" si="6"/>
        <v>1.1718633829632721</v>
      </c>
      <c r="K80" s="25">
        <f t="shared" si="6"/>
        <v>1.3218225660819714</v>
      </c>
      <c r="L80" s="25">
        <f t="shared" si="6"/>
        <v>1.540131928298031</v>
      </c>
      <c r="M80" s="2">
        <v>117.9</v>
      </c>
      <c r="N80" s="27">
        <f t="shared" si="5"/>
        <v>115.58823529411765</v>
      </c>
      <c r="O80" s="26">
        <v>1.081473214285714</v>
      </c>
      <c r="P80" s="2">
        <v>159.4</v>
      </c>
      <c r="Q80" s="2">
        <v>159.4</v>
      </c>
      <c r="R80" s="2">
        <v>158.30000000000001</v>
      </c>
      <c r="S80" s="2">
        <v>959.84769432905705</v>
      </c>
      <c r="T80" s="2">
        <v>122.4</v>
      </c>
      <c r="U80" s="27"/>
      <c r="V80" s="2">
        <v>122.4</v>
      </c>
      <c r="W80" s="27"/>
      <c r="X80" s="2">
        <v>91.1</v>
      </c>
      <c r="Y80" s="3"/>
    </row>
    <row r="81" spans="1:25" ht="14.4" x14ac:dyDescent="0.3">
      <c r="A81" s="5">
        <v>44378</v>
      </c>
      <c r="B81" s="24">
        <v>1.068157614483493</v>
      </c>
      <c r="C81" s="24">
        <v>1.4992887624466571</v>
      </c>
      <c r="D81" s="24">
        <v>1.068085106382979</v>
      </c>
      <c r="E81" s="24">
        <v>1.094929881337648</v>
      </c>
      <c r="F81" s="25">
        <f t="shared" si="6"/>
        <v>1.3165199084913906</v>
      </c>
      <c r="G81" s="25">
        <f t="shared" si="6"/>
        <v>1.4060990352059068</v>
      </c>
      <c r="H81" s="25">
        <f t="shared" si="6"/>
        <v>1.5401833091774382</v>
      </c>
      <c r="I81" s="25">
        <f t="shared" si="6"/>
        <v>1.1949800512571143</v>
      </c>
      <c r="J81" s="25">
        <f t="shared" si="6"/>
        <v>1.1591346560860627</v>
      </c>
      <c r="K81" s="25">
        <f t="shared" si="6"/>
        <v>1.3075933102108142</v>
      </c>
      <c r="L81" s="25">
        <f t="shared" si="6"/>
        <v>1.5219686820355838</v>
      </c>
      <c r="M81" s="2">
        <v>120.251</v>
      </c>
      <c r="N81" s="27">
        <f t="shared" si="5"/>
        <v>117.89313725490196</v>
      </c>
      <c r="O81" s="26">
        <v>1.114955357142857</v>
      </c>
      <c r="P81" s="2">
        <v>165.05</v>
      </c>
      <c r="Q81" s="2">
        <v>165.05</v>
      </c>
      <c r="R81" s="2">
        <v>166.95</v>
      </c>
      <c r="S81" s="2">
        <v>909.48058655</v>
      </c>
      <c r="T81" s="2">
        <v>125.006</v>
      </c>
      <c r="U81" s="27"/>
      <c r="V81" s="2">
        <v>125.006</v>
      </c>
      <c r="W81" s="27"/>
      <c r="X81" s="2">
        <v>88.358999999999995</v>
      </c>
      <c r="Y81" s="3"/>
    </row>
    <row r="82" spans="1:25" ht="14.4" x14ac:dyDescent="0.3">
      <c r="A82" s="5">
        <v>44409</v>
      </c>
      <c r="B82" s="24">
        <v>1.0724174653887111</v>
      </c>
      <c r="C82" s="24">
        <v>1.581792318634424</v>
      </c>
      <c r="D82" s="24">
        <v>1.0691489361702129</v>
      </c>
      <c r="E82" s="24">
        <v>1.1014023732470331</v>
      </c>
      <c r="F82" s="25">
        <f t="shared" si="6"/>
        <v>1.2960464201215434</v>
      </c>
      <c r="G82" s="25">
        <f t="shared" si="6"/>
        <v>1.380208981485326</v>
      </c>
      <c r="H82" s="25">
        <f t="shared" si="6"/>
        <v>1.5069139310730582</v>
      </c>
      <c r="I82" s="25">
        <f t="shared" si="6"/>
        <v>1.1784072184082004</v>
      </c>
      <c r="J82" s="25">
        <f t="shared" si="6"/>
        <v>1.1464059292088531</v>
      </c>
      <c r="K82" s="25">
        <f t="shared" si="6"/>
        <v>1.2933640543396567</v>
      </c>
      <c r="L82" s="25">
        <f t="shared" si="6"/>
        <v>1.5038054357731361</v>
      </c>
      <c r="M82" s="2">
        <v>124.321</v>
      </c>
      <c r="N82" s="27">
        <f t="shared" si="5"/>
        <v>121.88333333333333</v>
      </c>
      <c r="O82" s="26">
        <v>1.149553571428571</v>
      </c>
      <c r="P82" s="2">
        <v>165.05</v>
      </c>
      <c r="Q82" s="2">
        <v>165.05</v>
      </c>
      <c r="R82" s="2">
        <v>167.66800000000001</v>
      </c>
      <c r="S82" s="2">
        <v>879.07676894817496</v>
      </c>
      <c r="T82" s="2">
        <v>127.554</v>
      </c>
      <c r="U82" s="27"/>
      <c r="V82" s="2">
        <v>127.554</v>
      </c>
      <c r="W82" s="27"/>
      <c r="X82" s="2">
        <v>89.975999999999999</v>
      </c>
      <c r="Y82" s="3"/>
    </row>
    <row r="83" spans="1:25" ht="14.4" x14ac:dyDescent="0.3">
      <c r="A83" s="5">
        <v>44440</v>
      </c>
      <c r="B83" s="24">
        <v>1.077742279020234</v>
      </c>
      <c r="C83" s="24">
        <v>1.617354196301565</v>
      </c>
      <c r="D83" s="24">
        <v>1.076595744680851</v>
      </c>
      <c r="E83" s="24">
        <v>1.1067961165048541</v>
      </c>
      <c r="F83" s="25">
        <f t="shared" si="6"/>
        <v>1.2755729317516962</v>
      </c>
      <c r="G83" s="25">
        <f t="shared" si="6"/>
        <v>1.3543189277647454</v>
      </c>
      <c r="H83" s="25">
        <f t="shared" si="6"/>
        <v>1.4736445529686781</v>
      </c>
      <c r="I83" s="25">
        <f t="shared" si="6"/>
        <v>1.1618343855592868</v>
      </c>
      <c r="J83" s="25">
        <f t="shared" si="6"/>
        <v>1.1336772023316437</v>
      </c>
      <c r="K83" s="25">
        <f t="shared" si="6"/>
        <v>1.2791347984684995</v>
      </c>
      <c r="L83" s="25">
        <f t="shared" si="6"/>
        <v>1.4856421895106888</v>
      </c>
      <c r="M83" s="2">
        <v>127.979</v>
      </c>
      <c r="N83" s="27">
        <f t="shared" si="5"/>
        <v>125.46960784313725</v>
      </c>
      <c r="O83" s="26">
        <v>1.1796875</v>
      </c>
      <c r="P83" s="2">
        <v>166.28</v>
      </c>
      <c r="Q83" s="2">
        <v>166.28</v>
      </c>
      <c r="R83" s="2">
        <v>167.66800000000001</v>
      </c>
      <c r="S83" s="2">
        <v>868.09367312913298</v>
      </c>
      <c r="T83" s="2">
        <v>128.94399999999999</v>
      </c>
      <c r="U83" s="27"/>
      <c r="V83" s="2">
        <v>128.94399999999999</v>
      </c>
      <c r="W83" s="27"/>
      <c r="X83" s="2">
        <v>96.14</v>
      </c>
      <c r="Y83" s="3"/>
    </row>
    <row r="84" spans="1:25" ht="14.4" x14ac:dyDescent="0.3">
      <c r="A84" s="5">
        <v>44470</v>
      </c>
      <c r="B84" s="24">
        <v>1.085197018104366</v>
      </c>
      <c r="C84" s="24">
        <v>1.6287339971550501</v>
      </c>
      <c r="D84" s="24">
        <v>1.0755319148936171</v>
      </c>
      <c r="E84" s="24">
        <v>1.114347357065804</v>
      </c>
      <c r="F84" s="25">
        <f t="shared" si="6"/>
        <v>1.255099443381849</v>
      </c>
      <c r="G84" s="25">
        <f t="shared" si="6"/>
        <v>1.3284288740441648</v>
      </c>
      <c r="H84" s="25">
        <f t="shared" si="6"/>
        <v>1.4403751748642981</v>
      </c>
      <c r="I84" s="25">
        <f t="shared" si="6"/>
        <v>1.1452615527103731</v>
      </c>
      <c r="J84" s="25">
        <f t="shared" si="6"/>
        <v>1.1209484754544343</v>
      </c>
      <c r="K84" s="25">
        <f t="shared" si="6"/>
        <v>1.2649055425973423</v>
      </c>
      <c r="L84" s="25">
        <f t="shared" si="6"/>
        <v>1.4674789432482414</v>
      </c>
      <c r="M84" s="2">
        <v>131.35300000000001</v>
      </c>
      <c r="N84" s="27">
        <f t="shared" si="5"/>
        <v>128.77745098039216</v>
      </c>
      <c r="O84" s="26">
        <v>1.238839285714286</v>
      </c>
      <c r="P84" s="2">
        <v>170.66399999999999</v>
      </c>
      <c r="Q84" s="2">
        <v>170.66399999999999</v>
      </c>
      <c r="R84" s="2">
        <v>178.637</v>
      </c>
      <c r="S84" s="2">
        <v>892.43075889349996</v>
      </c>
      <c r="T84" s="2">
        <v>128.565</v>
      </c>
      <c r="U84" s="27"/>
      <c r="V84" s="2">
        <v>128.565</v>
      </c>
      <c r="W84" s="27"/>
      <c r="X84" s="2">
        <v>96.147999999999996</v>
      </c>
      <c r="Y84" s="3"/>
    </row>
    <row r="85" spans="1:25" ht="14.4" x14ac:dyDescent="0.3">
      <c r="A85" s="5">
        <v>44501</v>
      </c>
      <c r="B85" s="24">
        <v>1.0926517571884979</v>
      </c>
      <c r="C85" s="24">
        <v>1.6514935988620201</v>
      </c>
      <c r="D85" s="24">
        <v>1.0755319148936171</v>
      </c>
      <c r="E85" s="24">
        <v>1.1262135922330101</v>
      </c>
      <c r="F85" s="25">
        <f t="shared" si="6"/>
        <v>1.2346259550120018</v>
      </c>
      <c r="G85" s="25">
        <f t="shared" si="6"/>
        <v>1.3025388203235839</v>
      </c>
      <c r="H85" s="25">
        <f t="shared" si="6"/>
        <v>1.4071057967599181</v>
      </c>
      <c r="I85" s="25">
        <f t="shared" si="6"/>
        <v>1.1286887198614592</v>
      </c>
      <c r="J85" s="25">
        <f t="shared" si="6"/>
        <v>1.1082197485772249</v>
      </c>
      <c r="K85" s="25">
        <f t="shared" si="6"/>
        <v>1.2506762867261849</v>
      </c>
      <c r="L85" s="25">
        <f t="shared" si="6"/>
        <v>1.4493156969857939</v>
      </c>
      <c r="M85" s="2">
        <v>133.804</v>
      </c>
      <c r="N85" s="27">
        <f t="shared" si="5"/>
        <v>131.18039215686275</v>
      </c>
      <c r="O85" s="26">
        <v>1.271205357142857</v>
      </c>
      <c r="P85" s="2">
        <v>170.417</v>
      </c>
      <c r="Q85" s="2">
        <v>170.417</v>
      </c>
      <c r="R85" s="2">
        <v>178.60300000000001</v>
      </c>
      <c r="S85" s="2">
        <v>907.98350414054005</v>
      </c>
      <c r="T85" s="2">
        <v>132.399</v>
      </c>
      <c r="U85" s="27"/>
      <c r="V85" s="2">
        <v>132.399</v>
      </c>
      <c r="W85" s="27"/>
      <c r="X85" s="2">
        <v>97.537000000000006</v>
      </c>
      <c r="Y85" s="3"/>
    </row>
    <row r="86" spans="1:25" ht="14.4" x14ac:dyDescent="0.3">
      <c r="A86" s="5">
        <v>44531</v>
      </c>
      <c r="B86" s="24">
        <v>1.0969116080937169</v>
      </c>
      <c r="C86" s="24">
        <v>1.660028449502134</v>
      </c>
      <c r="D86" s="24">
        <v>1.0819148936170211</v>
      </c>
      <c r="E86" s="24">
        <v>1.1316073354908309</v>
      </c>
      <c r="F86" s="25">
        <f t="shared" si="6"/>
        <v>1.2141524666421546</v>
      </c>
      <c r="G86" s="25">
        <f t="shared" si="6"/>
        <v>1.2766487666030033</v>
      </c>
      <c r="H86" s="25">
        <f t="shared" si="6"/>
        <v>1.3738364186555378</v>
      </c>
      <c r="I86" s="25">
        <f t="shared" si="6"/>
        <v>1.1121158870125454</v>
      </c>
      <c r="J86" s="25">
        <f t="shared" si="6"/>
        <v>1.0954910217000156</v>
      </c>
      <c r="K86" s="25">
        <f t="shared" si="6"/>
        <v>1.2364470308550277</v>
      </c>
      <c r="L86" s="25">
        <f t="shared" si="6"/>
        <v>1.4311524507233464</v>
      </c>
      <c r="M86" s="2">
        <v>135.92400000000001</v>
      </c>
      <c r="N86" s="27">
        <f t="shared" si="5"/>
        <v>133.25882352941176</v>
      </c>
      <c r="O86" s="26">
        <v>1.283482142857143</v>
      </c>
      <c r="P86" s="2">
        <v>173.50299999999999</v>
      </c>
      <c r="Q86" s="2">
        <v>173.50299999999999</v>
      </c>
      <c r="R86" s="2">
        <v>178.72800000000001</v>
      </c>
      <c r="S86" s="2">
        <v>909.30605076148595</v>
      </c>
      <c r="T86" s="2">
        <v>131.00299999999999</v>
      </c>
      <c r="U86" s="27"/>
      <c r="V86" s="2">
        <v>131.00299999999999</v>
      </c>
      <c r="W86" s="27"/>
      <c r="X86" s="2">
        <v>97.96</v>
      </c>
      <c r="Y86" s="3"/>
    </row>
    <row r="87" spans="1:25" ht="14.4" x14ac:dyDescent="0.3">
      <c r="A87" s="5">
        <v>44562</v>
      </c>
      <c r="B87" s="24">
        <v>1.120340788072417</v>
      </c>
      <c r="C87" s="24">
        <v>1.7396870554765289</v>
      </c>
      <c r="D87" s="24">
        <v>1.087234042553191</v>
      </c>
      <c r="E87" s="24">
        <v>1.1574973031283711</v>
      </c>
      <c r="F87" s="25">
        <f t="shared" si="6"/>
        <v>1.1936789782723074</v>
      </c>
      <c r="G87" s="25">
        <f t="shared" si="6"/>
        <v>1.2507587128824227</v>
      </c>
      <c r="H87" s="25">
        <f t="shared" si="6"/>
        <v>1.3405670405511578</v>
      </c>
      <c r="I87" s="25">
        <f t="shared" si="6"/>
        <v>1.0955430541636317</v>
      </c>
      <c r="J87" s="25">
        <f t="shared" si="6"/>
        <v>1.0827622948228062</v>
      </c>
      <c r="K87" s="25">
        <f t="shared" si="6"/>
        <v>1.2222177749838705</v>
      </c>
      <c r="L87" s="25">
        <f t="shared" si="6"/>
        <v>1.4129892044608989</v>
      </c>
      <c r="M87" s="2">
        <v>142.32599999999999</v>
      </c>
      <c r="N87" s="27">
        <f t="shared" si="5"/>
        <v>139.53529411764706</v>
      </c>
      <c r="O87" s="26">
        <v>1.377232142857143</v>
      </c>
      <c r="P87" s="2">
        <v>174.71100000000001</v>
      </c>
      <c r="Q87" s="2">
        <v>174.71100000000001</v>
      </c>
      <c r="R87" s="2">
        <v>178.88</v>
      </c>
      <c r="S87" s="2">
        <v>933.36712410267103</v>
      </c>
      <c r="T87" s="2">
        <v>128.339</v>
      </c>
      <c r="U87" s="27"/>
      <c r="V87" s="2">
        <v>128.339</v>
      </c>
      <c r="W87" s="27"/>
      <c r="X87" s="2">
        <v>97.564999999999998</v>
      </c>
      <c r="Y87" s="3"/>
    </row>
    <row r="88" spans="1:25" ht="14.4" x14ac:dyDescent="0.3">
      <c r="A88" s="5">
        <v>44593</v>
      </c>
      <c r="B88" s="24">
        <v>1.1309904153354631</v>
      </c>
      <c r="C88" s="24">
        <v>1.7667140825035561</v>
      </c>
      <c r="D88" s="24">
        <v>1.09468085106383</v>
      </c>
      <c r="E88" s="24">
        <v>1.1693635382955769</v>
      </c>
      <c r="F88" s="25">
        <f t="shared" si="6"/>
        <v>1.2126402741885327</v>
      </c>
      <c r="G88" s="25">
        <f t="shared" si="6"/>
        <v>1.2600647786836237</v>
      </c>
      <c r="H88" s="25">
        <f t="shared" si="6"/>
        <v>1.3445336235240748</v>
      </c>
      <c r="I88" s="25">
        <f t="shared" si="6"/>
        <v>1.1238986659730212</v>
      </c>
      <c r="J88" s="25">
        <f t="shared" si="6"/>
        <v>1.1434316053436155</v>
      </c>
      <c r="K88" s="25">
        <f t="shared" si="6"/>
        <v>1.2314006020455528</v>
      </c>
      <c r="L88" s="25">
        <f t="shared" si="6"/>
        <v>1.458000046603031</v>
      </c>
      <c r="M88" s="2">
        <v>147.66900000000001</v>
      </c>
      <c r="N88" s="27">
        <f t="shared" si="5"/>
        <v>144.77352941176471</v>
      </c>
      <c r="O88" s="26">
        <v>1.435267857142857</v>
      </c>
      <c r="P88" s="2">
        <v>173.97399999999999</v>
      </c>
      <c r="Q88" s="2">
        <v>173.97399999999999</v>
      </c>
      <c r="R88" s="2">
        <v>185.63399999999999</v>
      </c>
      <c r="S88" s="2">
        <v>924.55906404005998</v>
      </c>
      <c r="T88" s="2">
        <v>128.21299999999999</v>
      </c>
      <c r="U88" s="27"/>
      <c r="V88" s="2">
        <v>128.21299999999999</v>
      </c>
      <c r="W88" s="27"/>
      <c r="X88" s="2">
        <v>99.215999999999994</v>
      </c>
      <c r="Y88" s="3"/>
    </row>
    <row r="89" spans="1:25" ht="14.4" x14ac:dyDescent="0.3">
      <c r="A89" s="5">
        <v>44621</v>
      </c>
      <c r="B89" s="24">
        <v>1.144834930777423</v>
      </c>
      <c r="C89" s="24">
        <v>1.8605974395448079</v>
      </c>
      <c r="D89" s="24">
        <v>1.102127659574468</v>
      </c>
      <c r="E89" s="24">
        <v>1.1898597626752969</v>
      </c>
      <c r="F89" s="25">
        <f t="shared" si="6"/>
        <v>1.2316015701047582</v>
      </c>
      <c r="G89" s="25">
        <f t="shared" si="6"/>
        <v>1.2693708444848244</v>
      </c>
      <c r="H89" s="25">
        <f t="shared" si="6"/>
        <v>1.3485002064969915</v>
      </c>
      <c r="I89" s="25">
        <f t="shared" si="6"/>
        <v>1.152254277782411</v>
      </c>
      <c r="J89" s="25">
        <f t="shared" si="6"/>
        <v>1.2041009158644249</v>
      </c>
      <c r="K89" s="25">
        <f t="shared" si="6"/>
        <v>1.2405834291072348</v>
      </c>
      <c r="L89" s="25">
        <f t="shared" si="6"/>
        <v>1.5030108887451632</v>
      </c>
      <c r="M89" s="2">
        <v>150.012</v>
      </c>
      <c r="N89" s="27">
        <f t="shared" si="5"/>
        <v>147.07058823529411</v>
      </c>
      <c r="O89" s="26">
        <v>1.495535714285714</v>
      </c>
      <c r="P89" s="2">
        <v>179.238</v>
      </c>
      <c r="Q89" s="2">
        <v>179.238</v>
      </c>
      <c r="R89" s="2">
        <v>187.86799999999999</v>
      </c>
      <c r="S89" s="2">
        <v>931.17806286143298</v>
      </c>
      <c r="T89" s="2">
        <v>129.69499999999999</v>
      </c>
      <c r="U89" s="27"/>
      <c r="V89" s="2">
        <v>129.69499999999999</v>
      </c>
      <c r="W89" s="27"/>
      <c r="X89" s="2">
        <v>97.078000000000003</v>
      </c>
      <c r="Y89" s="3"/>
    </row>
    <row r="90" spans="1:25" ht="14.4" x14ac:dyDescent="0.3">
      <c r="A90" s="5">
        <v>44652</v>
      </c>
      <c r="B90" s="24">
        <v>1.1586794462193819</v>
      </c>
      <c r="C90" s="24">
        <v>1.9871977240398291</v>
      </c>
      <c r="D90" s="24">
        <v>1.1042553191489359</v>
      </c>
      <c r="E90" s="24">
        <v>1.2168284789644011</v>
      </c>
      <c r="F90" s="25">
        <f t="shared" si="6"/>
        <v>1.2505628660209838</v>
      </c>
      <c r="G90" s="25">
        <f t="shared" si="6"/>
        <v>1.2786769102860254</v>
      </c>
      <c r="H90" s="25">
        <f t="shared" si="6"/>
        <v>1.3524667894699085</v>
      </c>
      <c r="I90" s="25">
        <f t="shared" si="6"/>
        <v>1.1806098895918007</v>
      </c>
      <c r="J90" s="25">
        <f t="shared" si="6"/>
        <v>1.2647702263852343</v>
      </c>
      <c r="K90" s="25">
        <f t="shared" si="6"/>
        <v>1.2497662561689169</v>
      </c>
      <c r="L90" s="25">
        <f t="shared" si="6"/>
        <v>1.5480217308872952</v>
      </c>
      <c r="M90" s="2">
        <v>159.17500000000001</v>
      </c>
      <c r="N90" s="27">
        <f t="shared" si="5"/>
        <v>156.05392156862746</v>
      </c>
      <c r="O90" s="26">
        <v>1.553571428571429</v>
      </c>
      <c r="P90" s="2">
        <v>181.483</v>
      </c>
      <c r="Q90" s="2">
        <v>181.483</v>
      </c>
      <c r="R90" s="2">
        <v>188.59100000000001</v>
      </c>
      <c r="S90" s="2">
        <v>917.07635851930002</v>
      </c>
      <c r="T90" s="2">
        <v>130.70699999999999</v>
      </c>
      <c r="U90" s="27"/>
      <c r="V90" s="2">
        <v>130.70699999999999</v>
      </c>
      <c r="W90" s="27"/>
      <c r="X90" s="2">
        <v>105.053</v>
      </c>
      <c r="Y90" s="3"/>
    </row>
    <row r="91" spans="1:25" ht="14.4" x14ac:dyDescent="0.3">
      <c r="A91" s="5">
        <v>44682</v>
      </c>
      <c r="B91" s="24">
        <v>1.171458998935037</v>
      </c>
      <c r="C91" s="24">
        <v>2.0512091038406828</v>
      </c>
      <c r="D91" s="24">
        <v>1.1095744680851061</v>
      </c>
      <c r="E91" s="24">
        <v>1.236245954692557</v>
      </c>
      <c r="F91" s="25">
        <f t="shared" si="6"/>
        <v>1.2695241619372091</v>
      </c>
      <c r="G91" s="25">
        <f t="shared" si="6"/>
        <v>1.2879829760872263</v>
      </c>
      <c r="H91" s="25">
        <f t="shared" si="6"/>
        <v>1.3564333724428255</v>
      </c>
      <c r="I91" s="25">
        <f t="shared" si="6"/>
        <v>1.2089655014011902</v>
      </c>
      <c r="J91" s="25">
        <f t="shared" si="6"/>
        <v>1.3254395369060437</v>
      </c>
      <c r="K91" s="25">
        <f t="shared" si="6"/>
        <v>1.2589490832305992</v>
      </c>
      <c r="L91" s="25">
        <f t="shared" si="6"/>
        <v>1.5930325730294272</v>
      </c>
      <c r="M91" s="2">
        <v>169.934</v>
      </c>
      <c r="N91" s="27">
        <f t="shared" si="5"/>
        <v>166.60196078431372</v>
      </c>
      <c r="O91" s="26">
        <v>1.5703125</v>
      </c>
      <c r="P91" s="2">
        <v>183.38200000000001</v>
      </c>
      <c r="Q91" s="2">
        <v>183.38200000000001</v>
      </c>
      <c r="R91" s="2">
        <v>190.32599999999999</v>
      </c>
      <c r="S91" s="2">
        <v>917.33497634566697</v>
      </c>
      <c r="T91" s="2">
        <v>130.80500000000001</v>
      </c>
      <c r="U91" s="27"/>
      <c r="V91" s="2">
        <v>130.80500000000001</v>
      </c>
      <c r="W91" s="27"/>
      <c r="X91" s="2">
        <v>106.842</v>
      </c>
      <c r="Y91" s="3"/>
    </row>
    <row r="92" spans="1:25" ht="14.4" x14ac:dyDescent="0.3">
      <c r="A92" s="5">
        <v>44713</v>
      </c>
      <c r="B92" s="24">
        <v>1.178913738019169</v>
      </c>
      <c r="C92" s="24">
        <v>2.0142247510668558</v>
      </c>
      <c r="D92" s="24">
        <v>1.1223404255319149</v>
      </c>
      <c r="E92" s="24">
        <v>1.2427184466019421</v>
      </c>
      <c r="F92" s="25">
        <f t="shared" si="6"/>
        <v>1.2884854578534344</v>
      </c>
      <c r="G92" s="25">
        <f t="shared" si="6"/>
        <v>1.2972890418884271</v>
      </c>
      <c r="H92" s="25">
        <f t="shared" si="6"/>
        <v>1.3603999554157422</v>
      </c>
      <c r="I92" s="25">
        <f t="shared" si="6"/>
        <v>1.2373211132105797</v>
      </c>
      <c r="J92" s="25">
        <f t="shared" si="6"/>
        <v>1.3861088474268533</v>
      </c>
      <c r="K92" s="25">
        <f t="shared" si="6"/>
        <v>1.2681319102922815</v>
      </c>
      <c r="L92" s="25">
        <f t="shared" si="6"/>
        <v>1.6380434151715595</v>
      </c>
      <c r="M92" s="2">
        <v>169.54499999999999</v>
      </c>
      <c r="N92" s="27">
        <f t="shared" si="5"/>
        <v>166.22058823529412</v>
      </c>
      <c r="O92" s="26">
        <v>1.559151785714286</v>
      </c>
      <c r="P92" s="2">
        <v>182.68700000000001</v>
      </c>
      <c r="Q92" s="2">
        <v>182.68700000000001</v>
      </c>
      <c r="R92" s="2">
        <v>194.899</v>
      </c>
      <c r="S92" s="2">
        <v>949.00474299912196</v>
      </c>
      <c r="T92" s="2">
        <v>135.578</v>
      </c>
      <c r="U92" s="27"/>
      <c r="V92" s="2">
        <v>135.578</v>
      </c>
      <c r="W92" s="27"/>
      <c r="X92" s="2">
        <v>107.393</v>
      </c>
      <c r="Y92" s="3"/>
    </row>
    <row r="93" spans="1:25" ht="14.4" x14ac:dyDescent="0.3">
      <c r="A93" s="5">
        <v>44743</v>
      </c>
      <c r="B93" s="24">
        <v>1.1895633652822151</v>
      </c>
      <c r="C93" s="24">
        <v>1.9459459459459461</v>
      </c>
      <c r="D93" s="24">
        <v>1.129787234042553</v>
      </c>
      <c r="E93" s="24">
        <v>1.2556634304207119</v>
      </c>
      <c r="F93" s="25">
        <f t="shared" si="6"/>
        <v>1.3074467537696599</v>
      </c>
      <c r="G93" s="25">
        <f t="shared" si="6"/>
        <v>1.3065951076896281</v>
      </c>
      <c r="H93" s="25">
        <f t="shared" si="6"/>
        <v>1.3643665383886592</v>
      </c>
      <c r="I93" s="25">
        <f t="shared" si="6"/>
        <v>1.2656767250199694</v>
      </c>
      <c r="J93" s="25">
        <f t="shared" si="6"/>
        <v>1.4467781579476626</v>
      </c>
      <c r="K93" s="25">
        <f t="shared" si="6"/>
        <v>1.2773147373539635</v>
      </c>
      <c r="L93" s="25">
        <f t="shared" si="6"/>
        <v>1.6830542573136915</v>
      </c>
      <c r="M93" s="2">
        <v>162.846</v>
      </c>
      <c r="N93" s="27">
        <f t="shared" si="5"/>
        <v>159.65294117647059</v>
      </c>
      <c r="O93" s="26">
        <v>1.542410714285714</v>
      </c>
      <c r="P93" s="2">
        <v>182.99600000000001</v>
      </c>
      <c r="Q93" s="2">
        <v>182.99600000000001</v>
      </c>
      <c r="R93" s="2">
        <v>198.61</v>
      </c>
      <c r="S93" s="2">
        <v>900.96614234037497</v>
      </c>
      <c r="T93" s="2">
        <v>135.87299999999999</v>
      </c>
      <c r="U93" s="27"/>
      <c r="V93" s="2">
        <v>135.87299999999999</v>
      </c>
      <c r="W93" s="27"/>
      <c r="X93" s="2">
        <v>107.348</v>
      </c>
      <c r="Y93" s="3"/>
    </row>
    <row r="94" spans="1:25" ht="14.4" x14ac:dyDescent="0.3">
      <c r="A94" s="5">
        <v>44774</v>
      </c>
      <c r="B94" s="24">
        <v>1.1980830670926521</v>
      </c>
      <c r="C94" s="24">
        <v>1.8890469416785209</v>
      </c>
      <c r="D94" s="24">
        <v>1.136170212765957</v>
      </c>
      <c r="E94" s="24">
        <v>1.2578209277238399</v>
      </c>
      <c r="F94" s="25">
        <f t="shared" si="6"/>
        <v>1.3264080496858854</v>
      </c>
      <c r="G94" s="25">
        <f t="shared" si="6"/>
        <v>1.315901173490829</v>
      </c>
      <c r="H94" s="25">
        <f t="shared" si="6"/>
        <v>1.3683331213615761</v>
      </c>
      <c r="I94" s="25">
        <f t="shared" si="6"/>
        <v>1.2940323368293591</v>
      </c>
      <c r="J94" s="25">
        <f t="shared" si="6"/>
        <v>1.507447468468472</v>
      </c>
      <c r="K94" s="25">
        <f t="shared" si="6"/>
        <v>1.2864975644156456</v>
      </c>
      <c r="L94" s="25">
        <f t="shared" si="6"/>
        <v>1.7280650994558235</v>
      </c>
      <c r="M94" s="2">
        <v>159.15299999999999</v>
      </c>
      <c r="N94" s="27">
        <f t="shared" si="5"/>
        <v>156.03235294117644</v>
      </c>
      <c r="O94" s="26">
        <v>1.544642857142857</v>
      </c>
      <c r="P94" s="2">
        <v>176.23500000000001</v>
      </c>
      <c r="Q94" s="2">
        <v>176.23500000000001</v>
      </c>
      <c r="R94" s="2">
        <v>207.012</v>
      </c>
      <c r="S94" s="2">
        <v>864.30021819190904</v>
      </c>
      <c r="T94" s="2">
        <v>135.46600000000001</v>
      </c>
      <c r="U94" s="27"/>
      <c r="V94" s="2">
        <v>135.46600000000001</v>
      </c>
      <c r="W94" s="27"/>
      <c r="X94" s="2">
        <v>107.04900000000001</v>
      </c>
      <c r="Y94" s="3"/>
    </row>
    <row r="95" spans="1:25" ht="14.4" x14ac:dyDescent="0.3">
      <c r="A95" s="5">
        <v>44805</v>
      </c>
      <c r="B95" s="24">
        <v>1.206602768903088</v>
      </c>
      <c r="C95" s="24">
        <v>1.862019914651494</v>
      </c>
      <c r="D95" s="24">
        <v>1.141489361702128</v>
      </c>
      <c r="E95" s="24">
        <v>1.2578209277238399</v>
      </c>
      <c r="F95" s="25">
        <f t="shared" si="6"/>
        <v>1.3453693456021107</v>
      </c>
      <c r="G95" s="25">
        <f t="shared" si="6"/>
        <v>1.3252072392920298</v>
      </c>
      <c r="H95" s="25">
        <f t="shared" si="6"/>
        <v>1.3722997043344929</v>
      </c>
      <c r="I95" s="25">
        <f t="shared" si="6"/>
        <v>1.3223879486387486</v>
      </c>
      <c r="J95" s="25">
        <f t="shared" si="6"/>
        <v>1.5681167789892814</v>
      </c>
      <c r="K95" s="25">
        <f t="shared" si="6"/>
        <v>1.2956803914773278</v>
      </c>
      <c r="L95" s="25">
        <f t="shared" si="6"/>
        <v>1.7730759415979556</v>
      </c>
      <c r="M95" s="2">
        <v>153.72800000000001</v>
      </c>
      <c r="N95" s="27">
        <f t="shared" si="5"/>
        <v>150.71372549019608</v>
      </c>
      <c r="O95" s="26">
        <v>1.5323660714285721</v>
      </c>
      <c r="P95" s="2">
        <v>174.81700000000001</v>
      </c>
      <c r="Q95" s="2">
        <v>174.81700000000001</v>
      </c>
      <c r="R95" s="2">
        <v>210.55600000000001</v>
      </c>
      <c r="S95" s="2">
        <v>819.34342087025004</v>
      </c>
      <c r="T95" s="2">
        <v>137.22200000000001</v>
      </c>
      <c r="U95" s="27"/>
      <c r="V95" s="2">
        <v>137.22200000000001</v>
      </c>
      <c r="W95" s="27"/>
      <c r="X95" s="2">
        <v>99.703000000000003</v>
      </c>
      <c r="Y95" s="3"/>
    </row>
    <row r="96" spans="1:25" ht="14.4" x14ac:dyDescent="0.3">
      <c r="A96" s="5">
        <v>44835</v>
      </c>
      <c r="B96" s="24">
        <v>1.216187433439829</v>
      </c>
      <c r="C96" s="24">
        <v>1.829302987197724</v>
      </c>
      <c r="D96" s="24">
        <v>1.1457446808510641</v>
      </c>
      <c r="E96" s="24">
        <v>1.259978425026969</v>
      </c>
      <c r="F96" s="25">
        <f t="shared" si="6"/>
        <v>1.3643306415183361</v>
      </c>
      <c r="G96" s="25">
        <f t="shared" si="6"/>
        <v>1.3345133050932307</v>
      </c>
      <c r="H96" s="25">
        <f t="shared" si="6"/>
        <v>1.3762662873074099</v>
      </c>
      <c r="I96" s="25">
        <f t="shared" si="6"/>
        <v>1.3507435604481381</v>
      </c>
      <c r="J96" s="25">
        <f t="shared" si="6"/>
        <v>1.6287860895100907</v>
      </c>
      <c r="K96" s="25">
        <f t="shared" si="6"/>
        <v>1.3048632185390101</v>
      </c>
      <c r="L96" s="25">
        <f t="shared" si="6"/>
        <v>1.8180867837400878</v>
      </c>
      <c r="M96" s="2">
        <v>155.108</v>
      </c>
      <c r="N96" s="27">
        <f t="shared" si="5"/>
        <v>152.06666666666666</v>
      </c>
      <c r="O96" s="26">
        <v>1.5011160714285721</v>
      </c>
      <c r="P96" s="2">
        <v>170.33600000000001</v>
      </c>
      <c r="Q96" s="2">
        <v>170.33600000000001</v>
      </c>
      <c r="R96" s="2">
        <v>203.517</v>
      </c>
      <c r="S96" s="2">
        <v>786.07006847324305</v>
      </c>
      <c r="T96" s="2">
        <v>135.41200000000001</v>
      </c>
      <c r="U96" s="27"/>
      <c r="V96" s="2">
        <v>135.41200000000001</v>
      </c>
      <c r="W96" s="27"/>
      <c r="X96" s="2">
        <v>91.51</v>
      </c>
      <c r="Y96" s="3"/>
    </row>
    <row r="97" spans="1:25" ht="14.4" x14ac:dyDescent="0.3">
      <c r="A97" s="5">
        <v>44866</v>
      </c>
      <c r="B97" s="24">
        <v>1.221512247071352</v>
      </c>
      <c r="C97" s="24">
        <v>1.7667140825035561</v>
      </c>
      <c r="D97" s="24">
        <v>1.147872340425532</v>
      </c>
      <c r="E97" s="24">
        <v>1.2578209277238399</v>
      </c>
      <c r="F97" s="25">
        <f t="shared" si="6"/>
        <v>1.3832919374345616</v>
      </c>
      <c r="G97" s="25">
        <f t="shared" si="6"/>
        <v>1.3438193708944317</v>
      </c>
      <c r="H97" s="25">
        <f t="shared" si="6"/>
        <v>1.3802328702803268</v>
      </c>
      <c r="I97" s="25">
        <f t="shared" si="6"/>
        <v>1.3790991722575279</v>
      </c>
      <c r="J97" s="25">
        <f t="shared" si="6"/>
        <v>1.6894554000309001</v>
      </c>
      <c r="K97" s="25">
        <f t="shared" si="6"/>
        <v>1.3140460456006922</v>
      </c>
      <c r="L97" s="25">
        <f t="shared" si="6"/>
        <v>1.8630976258822201</v>
      </c>
      <c r="M97" s="2">
        <v>153.49600000000001</v>
      </c>
      <c r="N97" s="27">
        <f t="shared" si="5"/>
        <v>150.48627450980393</v>
      </c>
      <c r="O97" s="26">
        <v>1.4776785714285721</v>
      </c>
      <c r="P97" s="2">
        <v>168.91900000000001</v>
      </c>
      <c r="Q97" s="2">
        <v>168.91900000000001</v>
      </c>
      <c r="R97" s="2">
        <v>208.05</v>
      </c>
      <c r="S97" s="2">
        <v>789.78205511169995</v>
      </c>
      <c r="T97" s="2">
        <v>136.72399999999999</v>
      </c>
      <c r="U97" s="27"/>
      <c r="V97" s="2">
        <v>136.72399999999999</v>
      </c>
      <c r="W97" s="27"/>
      <c r="X97" s="2">
        <v>86.61</v>
      </c>
      <c r="Y97" s="3"/>
    </row>
    <row r="98" spans="1:25" ht="14.4" x14ac:dyDescent="0.3">
      <c r="A98" s="5">
        <v>44896</v>
      </c>
      <c r="B98" s="24">
        <v>1.2236421725239619</v>
      </c>
      <c r="C98" s="24">
        <v>1.719772403982931</v>
      </c>
      <c r="D98" s="24">
        <v>1.1499999999999999</v>
      </c>
      <c r="E98" s="24">
        <v>1.2556634304207119</v>
      </c>
      <c r="F98" s="25">
        <f t="shared" si="6"/>
        <v>1.4022532333507871</v>
      </c>
      <c r="G98" s="25">
        <f t="shared" si="6"/>
        <v>1.3531254366956325</v>
      </c>
      <c r="H98" s="25">
        <f t="shared" si="6"/>
        <v>1.3841994532532436</v>
      </c>
      <c r="I98" s="25">
        <f t="shared" si="6"/>
        <v>1.4074547840669176</v>
      </c>
      <c r="J98" s="25">
        <f t="shared" si="6"/>
        <v>1.7501247105517095</v>
      </c>
      <c r="K98" s="25">
        <f t="shared" si="6"/>
        <v>1.3232288726623742</v>
      </c>
      <c r="L98" s="25">
        <f t="shared" si="6"/>
        <v>1.9081084680243521</v>
      </c>
      <c r="M98" s="2">
        <v>151.48099999999999</v>
      </c>
      <c r="N98" s="27">
        <f t="shared" si="5"/>
        <v>148.51078431372548</v>
      </c>
      <c r="O98" s="26">
        <v>1.458705357142857</v>
      </c>
      <c r="P98" s="2">
        <v>169.386</v>
      </c>
      <c r="Q98" s="2">
        <v>169.386</v>
      </c>
      <c r="R98" s="2">
        <v>211.72499999999999</v>
      </c>
      <c r="S98" s="2">
        <v>838.836850345333</v>
      </c>
      <c r="T98" s="2">
        <v>136.464</v>
      </c>
      <c r="U98" s="27"/>
      <c r="V98" s="2">
        <v>136.464</v>
      </c>
      <c r="W98" s="27"/>
      <c r="X98" s="2">
        <v>86.141000000000005</v>
      </c>
      <c r="Y98" s="3"/>
    </row>
    <row r="99" spans="1:25" ht="14.4" x14ac:dyDescent="0.3">
      <c r="A99" s="5">
        <v>44927</v>
      </c>
      <c r="B99" s="24">
        <v>1.2385516506922261</v>
      </c>
      <c r="C99" s="24">
        <v>1.681365576102418</v>
      </c>
      <c r="D99" s="24">
        <v>1.172340425531915</v>
      </c>
      <c r="E99" s="24">
        <v>1.261057173678533</v>
      </c>
      <c r="F99" s="25">
        <f t="shared" si="6"/>
        <v>1.4212145292670124</v>
      </c>
      <c r="G99" s="25">
        <f t="shared" si="6"/>
        <v>1.3624315024968334</v>
      </c>
      <c r="H99" s="25">
        <f t="shared" si="6"/>
        <v>1.3881660362261605</v>
      </c>
      <c r="I99" s="25">
        <f t="shared" si="6"/>
        <v>1.4358103958763071</v>
      </c>
      <c r="J99" s="25">
        <f t="shared" si="6"/>
        <v>1.8107940210725189</v>
      </c>
      <c r="K99" s="25">
        <f t="shared" si="6"/>
        <v>1.3324116997240565</v>
      </c>
      <c r="L99" s="25">
        <f t="shared" si="6"/>
        <v>1.9531193101664841</v>
      </c>
      <c r="M99" s="2">
        <v>155.922</v>
      </c>
      <c r="N99" s="27">
        <f t="shared" si="5"/>
        <v>152.86470588235295</v>
      </c>
      <c r="O99" s="26">
        <v>1.4620535714285721</v>
      </c>
      <c r="P99" s="2">
        <v>169.166</v>
      </c>
      <c r="Q99" s="2">
        <v>169.166</v>
      </c>
      <c r="R99" s="2">
        <v>217.20500000000001</v>
      </c>
      <c r="S99" s="2">
        <v>919.36947513603002</v>
      </c>
      <c r="T99" s="2">
        <v>135.75899999999999</v>
      </c>
      <c r="U99" s="27"/>
      <c r="V99" s="2">
        <v>135.75899999999999</v>
      </c>
      <c r="W99" s="27"/>
      <c r="X99" s="2">
        <v>87.480999999999995</v>
      </c>
      <c r="Y99" s="3"/>
    </row>
    <row r="100" spans="1:25" ht="14.4" x14ac:dyDescent="0.3">
      <c r="A100" s="5">
        <v>44958</v>
      </c>
      <c r="B100" s="24">
        <v>1.2417465388711391</v>
      </c>
      <c r="C100" s="24">
        <v>1.668563300142248</v>
      </c>
      <c r="D100" s="24">
        <v>1.178723404255319</v>
      </c>
      <c r="E100" s="24">
        <v>1.261057173678533</v>
      </c>
      <c r="M100" s="2">
        <v>155.78399999999999</v>
      </c>
      <c r="N100" s="27">
        <f t="shared" si="5"/>
        <v>152.72941176470587</v>
      </c>
      <c r="O100" s="26">
        <v>1.459821428571429</v>
      </c>
      <c r="P100" s="2">
        <v>166.36099999999999</v>
      </c>
      <c r="Q100" s="2">
        <v>166.36099999999999</v>
      </c>
      <c r="R100" s="2">
        <v>220.64500000000001</v>
      </c>
      <c r="S100" s="2">
        <v>949.85530658235598</v>
      </c>
      <c r="T100" s="2">
        <v>135.322</v>
      </c>
      <c r="U100" s="27"/>
      <c r="V100" s="2">
        <v>135.322</v>
      </c>
      <c r="W100" s="27"/>
      <c r="X100" s="2">
        <v>86.856999999999999</v>
      </c>
      <c r="Y100" s="3"/>
    </row>
    <row r="101" spans="1:25" ht="14.4" x14ac:dyDescent="0.3">
      <c r="A101" s="5">
        <v>44986</v>
      </c>
      <c r="B101" s="24">
        <v>1.2385516506922261</v>
      </c>
      <c r="C101" s="24">
        <v>1.658605974395448</v>
      </c>
      <c r="D101" s="24">
        <v>1.182978723404255</v>
      </c>
      <c r="E101" s="24">
        <v>1.2578209277238399</v>
      </c>
      <c r="M101" s="2">
        <v>154.37100000000001</v>
      </c>
      <c r="N101" s="27">
        <f t="shared" si="5"/>
        <v>151.34411764705885</v>
      </c>
      <c r="O101" s="26">
        <v>1.4296875</v>
      </c>
      <c r="P101" s="2">
        <v>166.53100000000001</v>
      </c>
      <c r="Q101" s="2">
        <v>166.53100000000001</v>
      </c>
      <c r="R101" s="2">
        <v>221.078</v>
      </c>
      <c r="S101" s="2">
        <v>902.29940698601399</v>
      </c>
      <c r="T101" s="2">
        <v>131.71199999999999</v>
      </c>
      <c r="U101" s="27"/>
      <c r="V101" s="2">
        <v>131.71199999999999</v>
      </c>
      <c r="W101" s="27"/>
      <c r="X101" s="2">
        <v>84.822999999999993</v>
      </c>
      <c r="Y101" s="3"/>
    </row>
    <row r="102" spans="1:25" ht="14.4" x14ac:dyDescent="0.3">
      <c r="A102" s="5">
        <v>45017</v>
      </c>
      <c r="B102" s="24">
        <v>1.2385516506922261</v>
      </c>
      <c r="C102" s="24">
        <v>1.6514935988620201</v>
      </c>
      <c r="D102" s="24">
        <v>1.1882978723404261</v>
      </c>
      <c r="E102" s="24">
        <v>1.2513484358144551</v>
      </c>
      <c r="M102" s="2">
        <v>154.88300000000001</v>
      </c>
      <c r="N102" s="27">
        <f t="shared" si="5"/>
        <v>151.84607843137258</v>
      </c>
      <c r="O102" s="26">
        <v>1.410714285714286</v>
      </c>
      <c r="P102" s="2">
        <v>162.52699999999999</v>
      </c>
      <c r="Q102" s="2">
        <v>162.52699999999999</v>
      </c>
      <c r="R102" s="2">
        <v>196.61500000000001</v>
      </c>
      <c r="S102" s="2">
        <v>903.32942435717996</v>
      </c>
      <c r="T102" s="2">
        <v>132.18899999999999</v>
      </c>
      <c r="U102" s="27"/>
      <c r="V102" s="2">
        <v>132.18899999999999</v>
      </c>
      <c r="W102" s="27"/>
      <c r="X102" s="2">
        <v>87.278000000000006</v>
      </c>
      <c r="Y102" s="3"/>
    </row>
    <row r="103" spans="1:25" ht="14.4" x14ac:dyDescent="0.3">
      <c r="A103" s="5">
        <v>45047</v>
      </c>
      <c r="B103" s="24">
        <v>1.237486687965921</v>
      </c>
      <c r="C103" s="24">
        <v>1.631578947368421</v>
      </c>
      <c r="D103" s="24">
        <v>1.189361702127659</v>
      </c>
      <c r="E103" s="24">
        <v>1.245954692556634</v>
      </c>
      <c r="M103" s="2">
        <v>151.32900000000001</v>
      </c>
      <c r="N103" s="27">
        <f t="shared" si="5"/>
        <v>148.36176470588236</v>
      </c>
      <c r="O103" s="26">
        <v>1.397321428571429</v>
      </c>
      <c r="P103" s="2">
        <v>161.142</v>
      </c>
      <c r="Q103" s="2">
        <v>161.142</v>
      </c>
      <c r="R103" s="2">
        <v>196.47200000000001</v>
      </c>
      <c r="S103" s="2">
        <v>897.66603012154303</v>
      </c>
      <c r="T103" s="2">
        <v>131.994</v>
      </c>
      <c r="U103" s="27"/>
      <c r="V103" s="2">
        <v>131.994</v>
      </c>
      <c r="W103" s="27"/>
      <c r="X103" s="2">
        <v>92.548000000000002</v>
      </c>
      <c r="Y103" s="3"/>
    </row>
    <row r="104" spans="1:25" ht="14.4" x14ac:dyDescent="0.3">
      <c r="A104" s="5">
        <v>45078</v>
      </c>
      <c r="B104" s="24">
        <v>1.237486687965921</v>
      </c>
      <c r="C104" s="24">
        <v>1.6017069701280231</v>
      </c>
      <c r="D104" s="24">
        <v>1.193617021276596</v>
      </c>
      <c r="E104" s="24">
        <v>1.239482200647249</v>
      </c>
      <c r="M104" s="2">
        <v>149.773</v>
      </c>
      <c r="N104" s="27">
        <f t="shared" si="5"/>
        <v>146.83627450980393</v>
      </c>
      <c r="O104" s="26">
        <v>1.3839285714285721</v>
      </c>
      <c r="P104" s="2">
        <v>161.22800000000001</v>
      </c>
      <c r="Q104" s="2">
        <v>161.22800000000001</v>
      </c>
      <c r="R104" s="2">
        <v>196.31299999999999</v>
      </c>
      <c r="S104" s="2">
        <v>836.88004311300006</v>
      </c>
      <c r="T104" s="2">
        <v>128.285</v>
      </c>
      <c r="U104" s="27"/>
      <c r="V104" s="2">
        <v>128.285</v>
      </c>
      <c r="W104" s="27"/>
      <c r="X104" s="2">
        <v>86.007000000000005</v>
      </c>
      <c r="Y104" s="3"/>
    </row>
    <row r="105" spans="1:25" ht="14.4" x14ac:dyDescent="0.3">
      <c r="A105" s="5">
        <v>45108</v>
      </c>
      <c r="B105" s="24">
        <v>1.2353567625133119</v>
      </c>
      <c r="C105" s="24">
        <v>1.553342816500711</v>
      </c>
      <c r="D105" s="24">
        <v>1.1989361702127661</v>
      </c>
      <c r="E105" s="24">
        <v>1.230852211434736</v>
      </c>
      <c r="M105" s="2">
        <v>147.85499999999999</v>
      </c>
      <c r="N105" s="27">
        <f t="shared" si="5"/>
        <v>144.95588235294116</v>
      </c>
      <c r="O105" s="26">
        <v>1.3526785714285721</v>
      </c>
      <c r="P105" s="2">
        <v>159.893</v>
      </c>
      <c r="Q105" s="2">
        <v>159.893</v>
      </c>
      <c r="R105" s="2">
        <v>195.672</v>
      </c>
      <c r="S105" s="2">
        <v>833.83893733800005</v>
      </c>
      <c r="T105" s="2">
        <v>128.05799999999999</v>
      </c>
      <c r="U105" s="27"/>
      <c r="V105" s="2">
        <v>128.05799999999999</v>
      </c>
      <c r="W105" s="27"/>
      <c r="X105" s="2">
        <v>86.363</v>
      </c>
      <c r="Y105" s="3"/>
    </row>
    <row r="106" spans="1:25" ht="14.4" x14ac:dyDescent="0.3">
      <c r="A106" s="5">
        <v>45139</v>
      </c>
      <c r="B106" s="24">
        <v>1.234291799787008</v>
      </c>
      <c r="C106" s="24">
        <v>1.537695590327169</v>
      </c>
      <c r="D106" s="24">
        <v>1.2</v>
      </c>
      <c r="E106" s="24">
        <v>1.224379719525351</v>
      </c>
      <c r="M106" s="2">
        <v>144.47800000000001</v>
      </c>
      <c r="N106" s="27">
        <f t="shared" si="5"/>
        <v>141.6450980392157</v>
      </c>
      <c r="O106" s="26">
        <v>1.333705357142857</v>
      </c>
      <c r="P106" s="2">
        <v>159.11699999999999</v>
      </c>
      <c r="Q106" s="2">
        <v>159.11699999999999</v>
      </c>
      <c r="R106" s="2">
        <v>195.43600000000001</v>
      </c>
      <c r="S106" s="2">
        <v>874.34493333333296</v>
      </c>
      <c r="T106" s="2">
        <v>127.517</v>
      </c>
      <c r="U106" s="27"/>
      <c r="V106" s="2">
        <v>127.517</v>
      </c>
      <c r="W106" s="27"/>
      <c r="X106" s="2">
        <v>81.605999999999995</v>
      </c>
      <c r="Y106" s="3"/>
    </row>
    <row r="107" spans="1:25" ht="14.4" x14ac:dyDescent="0.3">
      <c r="A107" s="5">
        <v>45170</v>
      </c>
      <c r="B107" s="24">
        <v>1.2353567625133119</v>
      </c>
      <c r="C107" s="24">
        <v>1.512091038406828</v>
      </c>
      <c r="D107" s="24">
        <v>1.2021276595744681</v>
      </c>
      <c r="E107" s="24">
        <v>1.2222222222222221</v>
      </c>
      <c r="M107" s="2">
        <v>143.71100000000001</v>
      </c>
      <c r="N107" s="27">
        <f t="shared" si="5"/>
        <v>140.89313725490197</v>
      </c>
      <c r="O107" s="26">
        <v>1.324776785714286</v>
      </c>
      <c r="P107" s="2">
        <v>156.76</v>
      </c>
      <c r="Q107" s="2">
        <v>156.76</v>
      </c>
      <c r="R107" s="2">
        <v>195.87299999999999</v>
      </c>
      <c r="S107" s="2">
        <v>842.34277499999996</v>
      </c>
      <c r="T107" s="2">
        <v>124.139</v>
      </c>
      <c r="U107" s="27"/>
      <c r="V107" s="2">
        <v>124.139</v>
      </c>
      <c r="W107" s="27"/>
      <c r="X107" s="2">
        <v>79.274000000000001</v>
      </c>
      <c r="Y107" s="3"/>
    </row>
    <row r="108" spans="1:25" ht="14.4" x14ac:dyDescent="0.3">
      <c r="A108" s="5">
        <v>45200</v>
      </c>
      <c r="B108" s="24">
        <v>1.2321618743343981</v>
      </c>
      <c r="C108" s="24">
        <v>1.4907539118065429</v>
      </c>
      <c r="D108" s="24">
        <v>1.2021276595744681</v>
      </c>
      <c r="E108" s="24">
        <v>1.217907227615965</v>
      </c>
      <c r="M108" s="2">
        <v>142.822</v>
      </c>
      <c r="N108" s="27">
        <f t="shared" si="5"/>
        <v>140.02156862745099</v>
      </c>
      <c r="O108" s="26">
        <v>1.315848214285714</v>
      </c>
      <c r="P108" s="2">
        <v>156.76</v>
      </c>
      <c r="Q108" s="2">
        <v>156.76</v>
      </c>
      <c r="R108" s="2">
        <v>195.48400000000001</v>
      </c>
      <c r="S108" s="2">
        <v>835.89387777777802</v>
      </c>
      <c r="T108" s="2">
        <v>124.372</v>
      </c>
      <c r="U108" s="27"/>
      <c r="V108" s="2">
        <v>124.372</v>
      </c>
      <c r="W108" s="27"/>
      <c r="X108" s="2">
        <v>79.731999999999999</v>
      </c>
      <c r="Y108" s="3"/>
    </row>
    <row r="109" spans="1:25" ht="14.4" x14ac:dyDescent="0.3">
      <c r="A109" s="5">
        <v>45231</v>
      </c>
      <c r="B109" s="24">
        <v>1.2310969116080941</v>
      </c>
      <c r="C109" s="24">
        <v>1.479374110953058</v>
      </c>
      <c r="D109" s="24">
        <v>1.204255319148936</v>
      </c>
      <c r="E109" s="24">
        <v>1.2168284789644011</v>
      </c>
      <c r="M109" s="2">
        <v>141.18299999999999</v>
      </c>
      <c r="N109" s="27">
        <f t="shared" si="5"/>
        <v>138.41470588235293</v>
      </c>
      <c r="O109" s="26">
        <v>1.306919642857143</v>
      </c>
      <c r="P109" s="2">
        <v>155.54499999999999</v>
      </c>
      <c r="Q109" s="2">
        <v>155.54499999999999</v>
      </c>
      <c r="R109" s="2">
        <v>195.48599999999999</v>
      </c>
      <c r="S109" s="2">
        <v>865.96609999999998</v>
      </c>
      <c r="T109" s="2">
        <v>125.051</v>
      </c>
      <c r="U109" s="27"/>
      <c r="V109" s="2">
        <v>125.051</v>
      </c>
      <c r="W109" s="27"/>
      <c r="X109" s="2">
        <v>87.503</v>
      </c>
      <c r="Y109" s="3"/>
    </row>
    <row r="110" spans="1:25" ht="14.4" x14ac:dyDescent="0.3">
      <c r="A110" s="5">
        <v>45261</v>
      </c>
      <c r="B110" s="24">
        <v>1.2289669861554851</v>
      </c>
      <c r="C110" s="24">
        <v>1.4765291607396871</v>
      </c>
      <c r="D110" s="24">
        <v>1.2063829787234039</v>
      </c>
      <c r="E110" s="24">
        <v>1.2135922330097091</v>
      </c>
      <c r="M110" s="2">
        <v>139.52600000000001</v>
      </c>
      <c r="N110" s="27">
        <f t="shared" si="5"/>
        <v>136.79019607843139</v>
      </c>
      <c r="O110" s="26">
        <v>1.297991071428571</v>
      </c>
      <c r="P110" s="2">
        <v>155.536</v>
      </c>
      <c r="Q110" s="2">
        <v>155.536</v>
      </c>
      <c r="R110" s="2">
        <v>195.613</v>
      </c>
      <c r="S110" s="2">
        <v>928.08113333333301</v>
      </c>
      <c r="T110" s="2">
        <v>125.072</v>
      </c>
      <c r="U110" s="27"/>
      <c r="V110" s="2">
        <v>125.072</v>
      </c>
      <c r="W110" s="27"/>
      <c r="X110" s="2">
        <v>84.221000000000004</v>
      </c>
      <c r="Y110" s="3"/>
    </row>
    <row r="111" spans="1:25" ht="14.4" x14ac:dyDescent="0.3">
      <c r="A111" s="5">
        <v>45292</v>
      </c>
      <c r="B111" s="24">
        <v>1.230031948881789</v>
      </c>
      <c r="C111" s="24">
        <v>1.4765291607396871</v>
      </c>
      <c r="D111" s="24">
        <v>1.2063829787234039</v>
      </c>
      <c r="E111" s="24">
        <v>1.209277238403452</v>
      </c>
      <c r="M111" s="2">
        <v>139.66</v>
      </c>
      <c r="N111" s="27">
        <f t="shared" si="5"/>
        <v>136.92156862745097</v>
      </c>
      <c r="O111" s="26">
        <v>1.283482142857143</v>
      </c>
      <c r="P111" s="2">
        <v>155.536</v>
      </c>
      <c r="Q111" s="2">
        <v>155.536</v>
      </c>
      <c r="R111" s="2">
        <v>196.06399999999999</v>
      </c>
      <c r="S111" s="2">
        <v>907.53686666666704</v>
      </c>
      <c r="T111" s="2">
        <v>124.964</v>
      </c>
      <c r="U111" s="27"/>
      <c r="V111" s="2">
        <v>124.964</v>
      </c>
      <c r="W111" s="27"/>
      <c r="X111" s="2">
        <v>83.376000000000005</v>
      </c>
      <c r="Y111" s="3"/>
    </row>
    <row r="112" spans="1:25" ht="14.4" x14ac:dyDescent="0.3">
      <c r="A112" s="5">
        <v>45323</v>
      </c>
      <c r="B112" s="24">
        <v>1.2310969116080941</v>
      </c>
      <c r="C112" s="24">
        <v>1.4779516358463729</v>
      </c>
      <c r="D112" s="24">
        <v>1.213829787234042</v>
      </c>
      <c r="E112" s="24">
        <v>1.209277238403452</v>
      </c>
      <c r="M112" s="2">
        <v>139.53800000000001</v>
      </c>
      <c r="N112" s="27">
        <f t="shared" si="5"/>
        <v>136.80196078431374</v>
      </c>
      <c r="O112" s="26">
        <v>1.2823660714285721</v>
      </c>
      <c r="P112" s="2">
        <v>156.001</v>
      </c>
      <c r="Q112" s="2">
        <v>156.001</v>
      </c>
      <c r="R112" s="2">
        <v>195.137</v>
      </c>
      <c r="S112" s="2">
        <v>873.47059999999999</v>
      </c>
      <c r="T112" s="2">
        <v>126.172</v>
      </c>
      <c r="U112" s="27"/>
      <c r="V112" s="2">
        <v>126.172</v>
      </c>
      <c r="W112" s="27"/>
      <c r="X112" s="2">
        <v>80.581000000000003</v>
      </c>
      <c r="Y112" s="3"/>
    </row>
    <row r="113" spans="1:25" ht="14.4" x14ac:dyDescent="0.3">
      <c r="A113" s="5">
        <v>45352</v>
      </c>
      <c r="B113" s="24">
        <v>1.234291799787008</v>
      </c>
      <c r="C113" s="24">
        <v>1.4779516358463729</v>
      </c>
      <c r="D113" s="24">
        <v>1.213829787234042</v>
      </c>
      <c r="E113" s="24">
        <v>1.210355987055016</v>
      </c>
      <c r="M113" s="2">
        <v>139.22</v>
      </c>
      <c r="N113" s="27">
        <f t="shared" si="5"/>
        <v>136.49019607843138</v>
      </c>
      <c r="O113" s="26">
        <v>1.285714285714286</v>
      </c>
      <c r="P113" s="2">
        <v>155.80099999999999</v>
      </c>
      <c r="Q113" s="2">
        <v>155.80099999999999</v>
      </c>
      <c r="R113" s="2">
        <v>195.68</v>
      </c>
      <c r="S113" s="2">
        <v>883.26904999999999</v>
      </c>
      <c r="T113" s="2">
        <v>126.008</v>
      </c>
      <c r="U113" s="27"/>
      <c r="V113" s="2">
        <v>126.008</v>
      </c>
      <c r="W113" s="27"/>
      <c r="X113" s="2">
        <v>86.06</v>
      </c>
      <c r="Y113" s="3"/>
    </row>
    <row r="114" spans="1:25" ht="14.4" x14ac:dyDescent="0.3">
      <c r="A114" s="5">
        <v>45383</v>
      </c>
      <c r="B114" s="24">
        <v>1.2332268370607029</v>
      </c>
      <c r="C114" s="24">
        <v>1.4822190611664301</v>
      </c>
      <c r="D114" s="24">
        <v>1.214893617021277</v>
      </c>
      <c r="E114" s="24">
        <v>1.21143473570658</v>
      </c>
      <c r="M114" s="2">
        <v>140.59399999999999</v>
      </c>
      <c r="N114" s="27">
        <f t="shared" si="5"/>
        <v>137.83725490196076</v>
      </c>
      <c r="O114" s="26">
        <v>1.285714285714286</v>
      </c>
      <c r="P114" s="2">
        <v>155.80099999999999</v>
      </c>
      <c r="Q114" s="2">
        <v>155.80099999999999</v>
      </c>
      <c r="R114" s="2">
        <v>195.613</v>
      </c>
      <c r="S114" s="2">
        <v>882.38739999999996</v>
      </c>
      <c r="T114" s="2">
        <v>125.58499999999999</v>
      </c>
      <c r="U114" s="27"/>
      <c r="V114" s="2">
        <v>125.58499999999999</v>
      </c>
      <c r="W114" s="27"/>
      <c r="X114" s="2">
        <v>87.802000000000007</v>
      </c>
      <c r="Y114" s="3"/>
    </row>
    <row r="115" spans="1:25" ht="14.4" x14ac:dyDescent="0.3">
      <c r="A115" s="5">
        <v>45413</v>
      </c>
      <c r="B115" s="24">
        <v>1.2332268370607029</v>
      </c>
      <c r="C115" s="24">
        <v>1.4779516358463729</v>
      </c>
      <c r="D115" s="24">
        <v>1.219148936170213</v>
      </c>
      <c r="E115" s="24">
        <v>1.2135922330097091</v>
      </c>
      <c r="M115" s="2">
        <v>139.602</v>
      </c>
      <c r="N115" s="27">
        <f t="shared" si="5"/>
        <v>136.86470588235295</v>
      </c>
      <c r="O115" s="26">
        <v>1.310267857142857</v>
      </c>
      <c r="P115" s="2">
        <v>155.80099999999999</v>
      </c>
      <c r="Q115" s="2">
        <v>155.80099999999999</v>
      </c>
      <c r="R115" s="2">
        <v>195.79900000000001</v>
      </c>
      <c r="S115" s="2">
        <v>881.31695000000002</v>
      </c>
      <c r="T115" s="2">
        <v>126.857</v>
      </c>
      <c r="U115" s="27"/>
      <c r="V115" s="2">
        <v>126.857</v>
      </c>
      <c r="W115" s="27"/>
      <c r="X115" s="2">
        <v>77.820999999999998</v>
      </c>
      <c r="Y115" s="3"/>
    </row>
    <row r="116" spans="1:25" ht="14.4" x14ac:dyDescent="0.3">
      <c r="A116" s="5">
        <v>45444</v>
      </c>
      <c r="B116" s="24">
        <v>1.2332268370607029</v>
      </c>
      <c r="C116" s="24">
        <v>1.4722617354196299</v>
      </c>
      <c r="D116" s="24">
        <v>1.213829787234042</v>
      </c>
      <c r="E116" s="24">
        <v>1.2135922330097091</v>
      </c>
      <c r="M116" s="2">
        <v>135.26499999999999</v>
      </c>
      <c r="N116" s="27">
        <f t="shared" si="5"/>
        <v>132.6127450980392</v>
      </c>
      <c r="O116" s="26">
        <v>1.330357142857143</v>
      </c>
      <c r="P116" s="2">
        <v>155.80099999999999</v>
      </c>
      <c r="Q116" s="2">
        <v>155.80099999999999</v>
      </c>
      <c r="R116" s="2">
        <v>195.81700000000001</v>
      </c>
      <c r="S116" s="2">
        <v>904.88901250000004</v>
      </c>
      <c r="T116" s="2">
        <v>126.589</v>
      </c>
      <c r="U116" s="27"/>
      <c r="V116" s="2">
        <v>126.589</v>
      </c>
      <c r="W116" s="27"/>
      <c r="X116" s="2">
        <v>73.888000000000005</v>
      </c>
      <c r="Y116" s="3"/>
    </row>
    <row r="117" spans="1:25" ht="14.4" x14ac:dyDescent="0.3">
      <c r="A117" s="5">
        <v>45474</v>
      </c>
      <c r="B117" s="24">
        <v>1.236421725239617</v>
      </c>
      <c r="C117" s="24">
        <v>1.466571834992888</v>
      </c>
      <c r="D117" s="24">
        <v>1.219148936170213</v>
      </c>
      <c r="E117" s="24">
        <v>1.2125134843581451</v>
      </c>
      <c r="M117" s="2">
        <v>136.65100000000001</v>
      </c>
      <c r="N117" s="27">
        <f t="shared" si="5"/>
        <v>133.97156862745098</v>
      </c>
      <c r="O117" s="26">
        <v>1.340401785714286</v>
      </c>
      <c r="P117" s="2">
        <v>155.80099999999999</v>
      </c>
      <c r="Q117" s="2">
        <v>155.80099999999999</v>
      </c>
      <c r="R117" s="2">
        <v>195.80799999999999</v>
      </c>
      <c r="S117" s="2">
        <v>875.96053333333305</v>
      </c>
      <c r="T117" s="2">
        <v>126.55500000000001</v>
      </c>
      <c r="U117" s="27"/>
      <c r="V117" s="2">
        <v>126.55500000000001</v>
      </c>
      <c r="W117" s="27"/>
      <c r="X117" s="2">
        <v>80.638999999999996</v>
      </c>
      <c r="Y117" s="3"/>
    </row>
    <row r="118" spans="1:25" ht="14.4" x14ac:dyDescent="0.3">
      <c r="A118" s="5">
        <v>45505</v>
      </c>
      <c r="B118" s="24">
        <v>1.237486687965921</v>
      </c>
      <c r="C118" s="24">
        <v>1.4580369843527741</v>
      </c>
      <c r="D118" s="24">
        <v>1.2234042553191491</v>
      </c>
      <c r="E118" s="24">
        <v>1.2135922330097091</v>
      </c>
      <c r="M118" s="2">
        <v>133.67099999999999</v>
      </c>
      <c r="N118" s="27">
        <f t="shared" si="5"/>
        <v>131.05000000000001</v>
      </c>
      <c r="O118" s="26">
        <v>1.332589285714286</v>
      </c>
      <c r="P118" s="2">
        <v>155.80099999999999</v>
      </c>
      <c r="Q118" s="2">
        <v>155.80099999999999</v>
      </c>
      <c r="R118" s="2">
        <v>195.60900000000001</v>
      </c>
      <c r="S118" s="2">
        <v>877.45320000000004</v>
      </c>
      <c r="T118" s="2">
        <v>128.93199999999999</v>
      </c>
      <c r="U118" s="27"/>
      <c r="V118" s="2">
        <v>128.93199999999999</v>
      </c>
      <c r="W118" s="27"/>
      <c r="X118" s="2">
        <v>82.944999999999993</v>
      </c>
      <c r="Y118" s="3"/>
    </row>
    <row r="119" spans="1:25" ht="14.4" x14ac:dyDescent="0.3">
      <c r="A119" s="5">
        <v>45536</v>
      </c>
      <c r="B119" s="24">
        <v>1.2353567625133119</v>
      </c>
      <c r="C119" s="24">
        <v>1.4495021337126599</v>
      </c>
      <c r="D119" s="24">
        <v>1.2244680851063829</v>
      </c>
      <c r="E119" s="24">
        <v>1.2135922330097091</v>
      </c>
      <c r="M119" s="2">
        <v>132.60400000000001</v>
      </c>
      <c r="N119" s="27">
        <f t="shared" si="5"/>
        <v>130.00392156862745</v>
      </c>
      <c r="O119" s="26">
        <v>1.330357142857143</v>
      </c>
      <c r="P119" s="2">
        <v>155.80099999999999</v>
      </c>
      <c r="Q119" s="2">
        <v>155.80099999999999</v>
      </c>
      <c r="R119" s="2">
        <v>195.43899999999999</v>
      </c>
      <c r="S119" s="2">
        <v>863.62012500000003</v>
      </c>
      <c r="T119" s="2">
        <v>129.47800000000001</v>
      </c>
      <c r="U119" s="27"/>
      <c r="V119" s="2">
        <v>129.47800000000001</v>
      </c>
      <c r="W119" s="27"/>
      <c r="X119" s="2">
        <v>79.332999999999998</v>
      </c>
      <c r="Y119" s="3"/>
    </row>
    <row r="120" spans="1:25" ht="14.4" x14ac:dyDescent="0.3">
      <c r="A120" s="5">
        <v>45566</v>
      </c>
      <c r="B120" s="24">
        <v>1.2332268370607029</v>
      </c>
      <c r="C120" s="24">
        <v>1.432432432432432</v>
      </c>
      <c r="D120" s="24">
        <v>1.222340425531915</v>
      </c>
      <c r="E120" s="24">
        <v>1.2146709816612731</v>
      </c>
      <c r="M120" s="2">
        <v>132.83199999999999</v>
      </c>
      <c r="N120" s="27">
        <f t="shared" si="5"/>
        <v>130.22745098039215</v>
      </c>
      <c r="O120" s="26">
        <v>1.334821428571429</v>
      </c>
      <c r="P120" s="2">
        <v>155.80099999999999</v>
      </c>
      <c r="Q120" s="2">
        <v>155.80099999999999</v>
      </c>
      <c r="R120" s="2">
        <v>195.8</v>
      </c>
      <c r="S120" s="2">
        <v>879.46536000000003</v>
      </c>
      <c r="T120" s="2">
        <v>129.863</v>
      </c>
      <c r="U120" s="27"/>
      <c r="V120" s="2">
        <v>129.863</v>
      </c>
      <c r="W120" s="27"/>
      <c r="X120" s="2">
        <v>80.375</v>
      </c>
      <c r="Y120" s="3"/>
    </row>
    <row r="121" spans="1:25" ht="14.4" x14ac:dyDescent="0.3">
      <c r="A121" s="5">
        <v>45597</v>
      </c>
      <c r="B121" s="24">
        <v>1.230031948881789</v>
      </c>
      <c r="C121" s="24">
        <v>1.421052631578948</v>
      </c>
      <c r="D121" s="24">
        <v>1.2234042553191491</v>
      </c>
      <c r="E121" s="24">
        <v>1.21143473570658</v>
      </c>
      <c r="M121" s="2">
        <v>132.91900000000001</v>
      </c>
      <c r="N121" s="27">
        <f t="shared" si="5"/>
        <v>130.31274509803922</v>
      </c>
      <c r="O121" s="26">
        <v>1.3515625</v>
      </c>
      <c r="P121" s="2">
        <v>156.66</v>
      </c>
      <c r="Q121" s="2">
        <v>156.66</v>
      </c>
      <c r="R121" s="2">
        <v>195.91200000000001</v>
      </c>
      <c r="S121" s="2">
        <v>874.03781428571403</v>
      </c>
      <c r="T121" s="2">
        <v>128.69399999999999</v>
      </c>
      <c r="U121" s="27"/>
      <c r="V121" s="2">
        <v>128.69399999999999</v>
      </c>
      <c r="W121" s="27"/>
      <c r="X121" s="2">
        <v>83.998000000000005</v>
      </c>
      <c r="Y121" s="3"/>
    </row>
    <row r="122" spans="1:25" ht="14.4" x14ac:dyDescent="0.3">
      <c r="A122" s="5">
        <v>45627</v>
      </c>
      <c r="B122" s="24">
        <v>1.222577209797657</v>
      </c>
      <c r="C122" s="24">
        <v>1.4167852062588899</v>
      </c>
      <c r="D122" s="24">
        <v>1.2212765957446809</v>
      </c>
      <c r="E122" s="24">
        <v>1.210355987055016</v>
      </c>
      <c r="M122" s="2">
        <v>133.32599999999999</v>
      </c>
      <c r="N122" s="27">
        <f t="shared" si="5"/>
        <v>130.71176470588236</v>
      </c>
      <c r="O122" s="26">
        <v>1.361607142857143</v>
      </c>
      <c r="P122" s="2">
        <v>156.66</v>
      </c>
      <c r="Q122" s="2">
        <v>156.66</v>
      </c>
      <c r="R122" s="2">
        <v>195.24199999999999</v>
      </c>
      <c r="S122" s="2">
        <v>867.17460000000005</v>
      </c>
      <c r="T122" s="2">
        <v>128.96</v>
      </c>
      <c r="U122" s="27"/>
      <c r="V122" s="2">
        <v>128.96</v>
      </c>
      <c r="W122" s="27"/>
      <c r="X122" s="2">
        <v>79.228999999999999</v>
      </c>
      <c r="Y122" s="3"/>
    </row>
    <row r="123" spans="1:25" ht="14.4" x14ac:dyDescent="0.3">
      <c r="A123" s="5">
        <v>45658</v>
      </c>
      <c r="B123" s="24">
        <v>1.222577209797657</v>
      </c>
      <c r="C123" s="24">
        <v>1.4082503556187771</v>
      </c>
      <c r="D123" s="24">
        <v>1.2276595744680849</v>
      </c>
      <c r="E123" s="24">
        <v>1.2125134843581451</v>
      </c>
      <c r="M123" s="2">
        <v>131.66900000000001</v>
      </c>
      <c r="N123" s="27">
        <f t="shared" si="5"/>
        <v>129.08725490196079</v>
      </c>
      <c r="O123" s="26">
        <v>1.379464285714286</v>
      </c>
      <c r="P123" s="2">
        <v>159.34299999999999</v>
      </c>
      <c r="Q123" s="2">
        <v>159.34299999999999</v>
      </c>
      <c r="R123" s="2">
        <v>194.86199999999999</v>
      </c>
      <c r="S123" s="2">
        <v>883.83921666666697</v>
      </c>
      <c r="T123" s="2">
        <v>128.69800000000001</v>
      </c>
      <c r="U123" s="27"/>
      <c r="V123" s="2">
        <v>128.69800000000001</v>
      </c>
      <c r="W123" s="27"/>
      <c r="X123" s="2">
        <v>81.328000000000003</v>
      </c>
      <c r="Y123" s="3"/>
    </row>
    <row r="124" spans="1:25" ht="14.4" x14ac:dyDescent="0.3">
      <c r="A124" s="5">
        <v>45689</v>
      </c>
      <c r="B124" s="24">
        <v>1.2236421725239619</v>
      </c>
      <c r="C124" s="24">
        <v>1.411095305832148</v>
      </c>
      <c r="D124" s="24">
        <v>1.235106382978723</v>
      </c>
      <c r="E124" s="24">
        <v>1.21143473570658</v>
      </c>
      <c r="M124" s="2">
        <v>133.15799999999999</v>
      </c>
      <c r="N124" s="27">
        <f t="shared" si="5"/>
        <v>130.5470588235294</v>
      </c>
      <c r="O124" s="26">
        <v>1.3917410714285721</v>
      </c>
      <c r="P124" s="2">
        <v>159.34299999999999</v>
      </c>
      <c r="Q124" s="2">
        <v>159.34299999999999</v>
      </c>
      <c r="R124" s="2">
        <v>194.88300000000001</v>
      </c>
      <c r="S124" s="2">
        <v>909.48041428571401</v>
      </c>
      <c r="T124" s="2">
        <v>129.57400000000001</v>
      </c>
      <c r="U124" s="27"/>
      <c r="V124" s="2">
        <v>129.57400000000001</v>
      </c>
      <c r="W124" s="27"/>
      <c r="X124" s="2">
        <v>75.177000000000007</v>
      </c>
      <c r="Y124" s="3"/>
    </row>
    <row r="125" spans="1:25" ht="14.4" x14ac:dyDescent="0.3">
      <c r="A125" s="5">
        <v>45717</v>
      </c>
      <c r="B125" s="24">
        <v>1.221512247071352</v>
      </c>
      <c r="C125" s="24">
        <v>1.4125177809388341</v>
      </c>
      <c r="D125" s="24">
        <v>1.235106382978723</v>
      </c>
      <c r="E125" s="24">
        <v>1.2125134843581451</v>
      </c>
      <c r="M125" s="2">
        <v>132.45500000000001</v>
      </c>
      <c r="N125" s="27">
        <f t="shared" si="5"/>
        <v>129.85784313725492</v>
      </c>
      <c r="O125" s="26">
        <v>1.396205357142857</v>
      </c>
      <c r="P125" s="2">
        <v>159.34299999999999</v>
      </c>
      <c r="Q125" s="2">
        <v>159.34299999999999</v>
      </c>
      <c r="R125" s="2">
        <v>195.39</v>
      </c>
      <c r="S125" s="2">
        <v>943.24450000000002</v>
      </c>
      <c r="T125" s="2">
        <v>129.78100000000001</v>
      </c>
      <c r="U125" s="27"/>
      <c r="V125" s="2">
        <v>129.78100000000001</v>
      </c>
      <c r="W125" s="27"/>
      <c r="X125" s="2">
        <v>83.512</v>
      </c>
      <c r="Y125" s="3"/>
    </row>
    <row r="126" spans="1:25" ht="14.4" x14ac:dyDescent="0.3">
      <c r="A126" s="5">
        <v>45748</v>
      </c>
      <c r="B126" s="24">
        <v>1.222577209797657</v>
      </c>
      <c r="C126" s="24">
        <v>1.421052631578948</v>
      </c>
      <c r="D126" s="24">
        <v>1.2265957446808511</v>
      </c>
      <c r="E126" s="24">
        <v>1.2125134843581451</v>
      </c>
      <c r="M126" s="2">
        <v>135.495</v>
      </c>
      <c r="N126" s="27">
        <f t="shared" si="5"/>
        <v>132.83823529411765</v>
      </c>
      <c r="O126" s="26">
        <v>1.385044642857143</v>
      </c>
      <c r="P126" s="2">
        <v>159.34299999999999</v>
      </c>
      <c r="Q126" s="2">
        <v>159.34299999999999</v>
      </c>
      <c r="R126" s="2">
        <v>195.33699999999999</v>
      </c>
      <c r="S126" s="2">
        <v>938.79945714285702</v>
      </c>
      <c r="T126" s="2">
        <v>129.41200000000001</v>
      </c>
      <c r="U126" s="27"/>
      <c r="V126" s="2">
        <v>129.41200000000001</v>
      </c>
      <c r="W126" s="27"/>
      <c r="X126" s="2">
        <v>88.972999999999999</v>
      </c>
      <c r="Y126" s="3"/>
    </row>
    <row r="127" spans="1:25" ht="14.4" x14ac:dyDescent="0.3">
      <c r="A127" s="5">
        <v>45778</v>
      </c>
      <c r="B127" s="24">
        <v>1.221512247071352</v>
      </c>
      <c r="C127" s="24">
        <v>1.419630156472262</v>
      </c>
      <c r="D127" s="24">
        <v>1.2276595744680849</v>
      </c>
      <c r="E127" s="24">
        <v>1.21143473570658</v>
      </c>
      <c r="M127" s="2">
        <v>139.91900000000001</v>
      </c>
      <c r="N127" s="27">
        <f t="shared" si="5"/>
        <v>137.17549019607844</v>
      </c>
      <c r="O127" s="26">
        <v>1.357142857142857</v>
      </c>
      <c r="P127" s="2">
        <v>159.34299999999999</v>
      </c>
      <c r="Q127" s="2">
        <v>159.34299999999999</v>
      </c>
      <c r="R127" s="2">
        <v>195.541</v>
      </c>
      <c r="S127" s="2">
        <v>938.76463333333299</v>
      </c>
      <c r="T127" s="2">
        <v>127.926</v>
      </c>
      <c r="U127" s="27"/>
      <c r="V127" s="2">
        <v>127.926</v>
      </c>
      <c r="W127" s="27"/>
      <c r="X127" s="2">
        <v>78.491</v>
      </c>
      <c r="Y127" s="3"/>
    </row>
    <row r="128" spans="1:25" ht="14.4" x14ac:dyDescent="0.3">
      <c r="A128" s="5">
        <v>45809</v>
      </c>
      <c r="B128" s="24">
        <v>1.221512247071352</v>
      </c>
      <c r="C128" s="24">
        <v>1.4068278805120911</v>
      </c>
      <c r="D128" s="24">
        <v>1.2276595744680849</v>
      </c>
      <c r="E128" s="24">
        <v>1.21143473570658</v>
      </c>
      <c r="M128" s="2">
        <v>144.14400000000001</v>
      </c>
      <c r="N128" s="27">
        <f t="shared" si="5"/>
        <v>141.31764705882352</v>
      </c>
      <c r="O128" s="26">
        <v>1.342633928571429</v>
      </c>
      <c r="P128" s="2">
        <v>159.34299999999999</v>
      </c>
      <c r="Q128" s="2">
        <v>159.34299999999999</v>
      </c>
      <c r="R128" s="2">
        <v>194.923</v>
      </c>
      <c r="S128" s="2">
        <v>939.608785714286</v>
      </c>
      <c r="T128" s="2">
        <v>127.905</v>
      </c>
      <c r="U128" s="27"/>
      <c r="V128" s="2">
        <v>127.905</v>
      </c>
      <c r="W128" s="27"/>
      <c r="X128" s="27">
        <v>78.491</v>
      </c>
      <c r="Y128" s="3"/>
    </row>
    <row r="129" spans="1:25" ht="14.4" x14ac:dyDescent="0.3">
      <c r="A129" s="5">
        <v>45839</v>
      </c>
      <c r="B129" s="24">
        <v>1.2236421725239619</v>
      </c>
      <c r="C129" s="24">
        <v>1.392603129445235</v>
      </c>
      <c r="D129" s="24">
        <v>1.236170212765958</v>
      </c>
      <c r="E129" s="24">
        <v>1.210355987055016</v>
      </c>
      <c r="M129" s="2">
        <v>143.34899999999999</v>
      </c>
      <c r="N129" s="27">
        <f t="shared" si="5"/>
        <v>140.53823529411764</v>
      </c>
      <c r="O129" s="26">
        <v>1.330357142857143</v>
      </c>
      <c r="P129" s="2">
        <v>159.34299999999999</v>
      </c>
      <c r="Q129" s="2">
        <v>159.34299999999999</v>
      </c>
      <c r="R129" s="2">
        <v>195.46600000000001</v>
      </c>
      <c r="S129" s="2">
        <v>953.77464285714302</v>
      </c>
      <c r="T129" s="2">
        <v>129.27500000000001</v>
      </c>
      <c r="U129" s="27"/>
      <c r="V129" s="2">
        <v>129.27500000000001</v>
      </c>
      <c r="W129" s="27"/>
      <c r="X129" s="27"/>
      <c r="Y129" s="3"/>
    </row>
    <row r="130" spans="1:25" ht="14.4" x14ac:dyDescent="0.3">
      <c r="A130" s="5">
        <v>45870</v>
      </c>
      <c r="B130" s="24">
        <v>1.2247071352502661</v>
      </c>
      <c r="C130" s="24">
        <v>1.3897581792318641</v>
      </c>
      <c r="D130" s="24">
        <v>1.2372340425531909</v>
      </c>
      <c r="E130" s="24">
        <v>1.210355987055016</v>
      </c>
      <c r="M130" s="2">
        <v>144.126</v>
      </c>
      <c r="N130" s="27">
        <f t="shared" si="5"/>
        <v>141.30000000000001</v>
      </c>
      <c r="O130" s="26">
        <v>1.331473214285714</v>
      </c>
      <c r="P130" s="2">
        <v>159.34299999999999</v>
      </c>
      <c r="Q130" s="2">
        <v>159.34299999999999</v>
      </c>
      <c r="R130" s="2">
        <v>193.672</v>
      </c>
      <c r="S130" s="2">
        <v>959.52797499999997</v>
      </c>
      <c r="T130" s="2">
        <v>129.767</v>
      </c>
      <c r="U130" s="27"/>
      <c r="V130" s="2">
        <v>129.767</v>
      </c>
      <c r="W130" s="27"/>
      <c r="X130" s="27"/>
      <c r="Y130" s="3"/>
    </row>
    <row r="131" spans="1:25" ht="14.4" x14ac:dyDescent="0.3">
      <c r="A131" s="5">
        <v>45901</v>
      </c>
      <c r="M131" s="2">
        <v>143.24600000000001</v>
      </c>
      <c r="N131" s="27">
        <f t="shared" si="5"/>
        <v>140.43725490196078</v>
      </c>
      <c r="P131" s="2">
        <v>159.34299999999999</v>
      </c>
      <c r="Q131" s="2">
        <v>159.34299999999999</v>
      </c>
      <c r="R131" s="2">
        <v>192.42</v>
      </c>
      <c r="S131" s="2">
        <v>1054.99945555556</v>
      </c>
      <c r="T131" s="2">
        <v>129.494</v>
      </c>
      <c r="U131" s="27"/>
      <c r="V131" s="2">
        <v>129.494</v>
      </c>
      <c r="W131" s="27"/>
      <c r="X131" s="27"/>
      <c r="Y131" s="3"/>
    </row>
    <row r="132" spans="1:25" ht="14.4" x14ac:dyDescent="0.3">
      <c r="A132" s="5">
        <v>45931</v>
      </c>
      <c r="M132" s="2">
        <v>143.197</v>
      </c>
      <c r="N132" s="27">
        <f t="shared" ref="N132:N134" si="7">M132/$M$3*100</f>
        <v>140.38921568627453</v>
      </c>
      <c r="P132" s="2">
        <v>159.34299999999999</v>
      </c>
      <c r="Q132" s="2">
        <v>159.34299999999999</v>
      </c>
      <c r="R132" s="2">
        <v>190.739</v>
      </c>
      <c r="S132" s="2">
        <v>1113.3076000000001</v>
      </c>
      <c r="T132" s="2">
        <v>127.124</v>
      </c>
      <c r="U132" s="27"/>
      <c r="V132" s="2">
        <v>127.124</v>
      </c>
      <c r="W132" s="27"/>
      <c r="X132" s="27"/>
      <c r="Y132" s="3"/>
    </row>
    <row r="133" spans="1:25" ht="14.4" x14ac:dyDescent="0.3">
      <c r="A133" s="5">
        <v>45962</v>
      </c>
      <c r="M133" s="2">
        <v>144.624</v>
      </c>
      <c r="N133" s="27">
        <f t="shared" si="7"/>
        <v>141.78823529411764</v>
      </c>
      <c r="P133" s="2">
        <v>159.34299999999999</v>
      </c>
      <c r="Q133" s="2">
        <v>159.34299999999999</v>
      </c>
      <c r="R133" s="2">
        <v>188.983</v>
      </c>
      <c r="S133" s="2">
        <v>1127.27968333333</v>
      </c>
      <c r="T133" s="2">
        <v>127.294</v>
      </c>
      <c r="U133" s="27"/>
      <c r="V133" s="2">
        <v>127.294</v>
      </c>
      <c r="W133" s="27"/>
      <c r="X133" s="27"/>
      <c r="Y133" s="3"/>
    </row>
    <row r="134" spans="1:25" ht="14.4" x14ac:dyDescent="0.3">
      <c r="A134" s="5">
        <v>45992</v>
      </c>
      <c r="M134" s="2">
        <v>145.32900000000001</v>
      </c>
      <c r="N134" s="27">
        <f t="shared" si="7"/>
        <v>142.4794117647059</v>
      </c>
      <c r="P134" s="2">
        <v>159.34299999999999</v>
      </c>
      <c r="Q134" s="2">
        <v>159.34299999999999</v>
      </c>
      <c r="R134" s="27">
        <v>188.983</v>
      </c>
      <c r="S134" s="2">
        <v>1218.7489800000001</v>
      </c>
      <c r="T134" s="2">
        <v>127.461</v>
      </c>
      <c r="U134" s="27"/>
      <c r="V134" s="2">
        <v>127.461</v>
      </c>
      <c r="W134" s="27"/>
      <c r="X134" s="27"/>
      <c r="Y134" s="3"/>
    </row>
    <row r="135" spans="1:25" ht="14.4" x14ac:dyDescent="0.3">
      <c r="A135" s="5"/>
      <c r="P135" s="27"/>
      <c r="Q135" s="27"/>
      <c r="S135" s="2">
        <v>1361.3369666666699</v>
      </c>
      <c r="T135" s="27">
        <v>127.461</v>
      </c>
      <c r="V135" s="27">
        <v>127.461</v>
      </c>
      <c r="W135" s="27"/>
    </row>
    <row r="136" spans="1:25" ht="14.4" x14ac:dyDescent="0.3">
      <c r="S136" s="28">
        <v>1361.3369666666699</v>
      </c>
    </row>
  </sheetData>
  <pageMargins left="0.75" right="0.75" top="1" bottom="1" header="0.5" footer="0.5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30"/>
  <sheetViews>
    <sheetView topLeftCell="K16" workbookViewId="0">
      <selection activeCell="K16" sqref="K16"/>
    </sheetView>
  </sheetViews>
  <sheetFormatPr defaultRowHeight="14.4" x14ac:dyDescent="0.3"/>
  <cols>
    <col min="1" max="1" width="19.5546875" bestFit="1" customWidth="1"/>
    <col min="6" max="9" width="13.88671875" style="16" customWidth="1"/>
    <col min="10" max="10" width="14.33203125" style="16" customWidth="1"/>
    <col min="11" max="11" width="21.44140625" style="16" customWidth="1"/>
    <col min="12" max="12" width="13.88671875" style="16" customWidth="1"/>
    <col min="13" max="13" width="12" bestFit="1" customWidth="1"/>
    <col min="18" max="18" width="12" bestFit="1" customWidth="1"/>
    <col min="19" max="19" width="10.6640625" bestFit="1" customWidth="1"/>
    <col min="20" max="21" width="8" bestFit="1" customWidth="1"/>
    <col min="22" max="22" width="9.5546875" bestFit="1" customWidth="1"/>
    <col min="24" max="24" width="16.6640625" customWidth="1"/>
    <col min="29" max="29" width="10.6640625" customWidth="1"/>
  </cols>
  <sheetData>
    <row r="1" spans="1:29" ht="14.4" customHeight="1" x14ac:dyDescent="0.3">
      <c r="A1" s="4" t="s">
        <v>36</v>
      </c>
      <c r="B1" s="4">
        <v>1</v>
      </c>
      <c r="C1" s="4">
        <v>2</v>
      </c>
      <c r="D1" s="4">
        <v>3</v>
      </c>
      <c r="E1" s="4">
        <v>4</v>
      </c>
      <c r="F1" s="13">
        <v>5</v>
      </c>
      <c r="G1" s="13">
        <v>6</v>
      </c>
      <c r="H1" s="13">
        <v>7</v>
      </c>
      <c r="I1" s="13">
        <v>8</v>
      </c>
      <c r="J1" s="13">
        <v>9</v>
      </c>
      <c r="K1" s="13">
        <v>10</v>
      </c>
      <c r="L1" s="13">
        <v>11</v>
      </c>
      <c r="M1" s="4">
        <v>12</v>
      </c>
      <c r="N1" s="4">
        <v>13</v>
      </c>
      <c r="O1" s="4">
        <v>28</v>
      </c>
      <c r="P1" s="13">
        <v>14</v>
      </c>
      <c r="Q1" s="13">
        <v>15</v>
      </c>
      <c r="R1" s="13">
        <v>16</v>
      </c>
      <c r="S1" s="4">
        <v>17</v>
      </c>
      <c r="T1" s="4">
        <v>18</v>
      </c>
      <c r="U1" s="13">
        <v>19</v>
      </c>
      <c r="V1" s="13">
        <v>20</v>
      </c>
      <c r="W1" s="13">
        <v>21</v>
      </c>
      <c r="X1" s="4">
        <v>22</v>
      </c>
      <c r="Y1" s="4">
        <v>23</v>
      </c>
      <c r="Z1" s="13">
        <v>24</v>
      </c>
      <c r="AA1" s="13">
        <v>25</v>
      </c>
      <c r="AB1" s="13">
        <v>26</v>
      </c>
      <c r="AC1" s="4">
        <v>27</v>
      </c>
    </row>
    <row r="2" spans="1:29" s="7" customFormat="1" x14ac:dyDescent="0.3">
      <c r="A2" s="1" t="s">
        <v>1</v>
      </c>
      <c r="B2" s="1" t="s">
        <v>37</v>
      </c>
      <c r="C2" s="1" t="s">
        <v>38</v>
      </c>
      <c r="D2" s="1" t="s">
        <v>4</v>
      </c>
      <c r="E2" s="1" t="s">
        <v>39</v>
      </c>
      <c r="F2" s="14" t="s">
        <v>40</v>
      </c>
      <c r="G2" s="15" t="s">
        <v>5</v>
      </c>
      <c r="H2" s="15" t="s">
        <v>6</v>
      </c>
      <c r="I2" s="15" t="s">
        <v>7</v>
      </c>
      <c r="J2" s="15" t="s">
        <v>8</v>
      </c>
      <c r="K2" s="15" t="s">
        <v>9</v>
      </c>
      <c r="L2" s="15" t="s">
        <v>10</v>
      </c>
      <c r="M2" s="1" t="s">
        <v>13</v>
      </c>
      <c r="N2" s="1" t="s">
        <v>45</v>
      </c>
      <c r="O2" s="1" t="s">
        <v>45</v>
      </c>
      <c r="P2" s="1" t="s">
        <v>46</v>
      </c>
      <c r="Q2" s="1" t="s">
        <v>18</v>
      </c>
      <c r="R2" s="1" t="s">
        <v>20</v>
      </c>
      <c r="S2" s="1" t="s">
        <v>47</v>
      </c>
      <c r="T2" s="6" t="s">
        <v>23</v>
      </c>
      <c r="U2" s="6" t="s">
        <v>26</v>
      </c>
      <c r="V2" s="6" t="s">
        <v>27</v>
      </c>
      <c r="W2" s="6" t="s">
        <v>48</v>
      </c>
      <c r="X2" s="6" t="s">
        <v>16</v>
      </c>
      <c r="Y2" s="6" t="s">
        <v>23</v>
      </c>
      <c r="Z2" s="6" t="s">
        <v>26</v>
      </c>
      <c r="AA2" s="6" t="s">
        <v>27</v>
      </c>
      <c r="AB2" s="6" t="s">
        <v>48</v>
      </c>
      <c r="AC2" s="6" t="s">
        <v>16</v>
      </c>
    </row>
    <row r="3" spans="1:29" x14ac:dyDescent="0.3">
      <c r="A3" s="5">
        <v>42005</v>
      </c>
      <c r="B3">
        <v>1</v>
      </c>
      <c r="C3">
        <v>1</v>
      </c>
      <c r="D3">
        <v>1</v>
      </c>
      <c r="E3">
        <v>1</v>
      </c>
      <c r="F3" s="16">
        <f t="shared" ref="F3:L3" si="0">VLOOKUP(YEAR($A3),_HOUT_INDEX_TAB,COLUMN(A2)+1,FALSE)+(VLOOKUP(YEAR($A3)+1,_HOUT_INDEX_TAB,COLUMN(A2)+1,FALSE)-VLOOKUP(YEAR($A3),_HOUT_INDEX_TAB,COLUMN(A2)+1,FALSE))*((MONTH($A3)-1)/12)</f>
        <v>1</v>
      </c>
      <c r="G3" s="16">
        <f t="shared" si="0"/>
        <v>1</v>
      </c>
      <c r="H3" s="16">
        <f t="shared" si="0"/>
        <v>1</v>
      </c>
      <c r="I3" s="16">
        <f t="shared" si="0"/>
        <v>1</v>
      </c>
      <c r="J3" s="16">
        <f t="shared" si="0"/>
        <v>1</v>
      </c>
      <c r="K3" s="16">
        <f t="shared" si="0"/>
        <v>1</v>
      </c>
      <c r="L3" s="16">
        <f t="shared" si="0"/>
        <v>1</v>
      </c>
      <c r="M3">
        <v>1</v>
      </c>
      <c r="N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</row>
    <row r="4" spans="1:29" x14ac:dyDescent="0.3">
      <c r="A4" s="5">
        <v>42036</v>
      </c>
      <c r="B4">
        <v>1.001064962726304</v>
      </c>
      <c r="C4">
        <v>0.988620199146515</v>
      </c>
      <c r="D4">
        <v>1.003191489361702</v>
      </c>
      <c r="E4">
        <v>0.99460625674217906</v>
      </c>
      <c r="F4" s="16">
        <f t="shared" ref="F4:L4" si="1">VLOOKUP(YEAR($A4),_HOUT_INDEX_TAB,COLUMN(A1)+1,FALSE)+(VLOOKUP(YEAR($A4)+1,_HOUT_INDEX_TAB,COLUMN(A1)+1,FALSE)-VLOOKUP(YEAR($A4),_HOUT_INDEX_TAB,COLUMN(A1)+1,FALSE))*((MONTH($A4)-1)/12)</f>
        <v>0.99855992575937458</v>
      </c>
      <c r="G4" s="16">
        <f t="shared" si="1"/>
        <v>1.000139499840043</v>
      </c>
      <c r="H4" s="16">
        <f t="shared" si="1"/>
        <v>1.0020958612302626</v>
      </c>
      <c r="I4" s="16">
        <f t="shared" si="1"/>
        <v>0.99646355707067935</v>
      </c>
      <c r="J4" s="16">
        <f t="shared" si="1"/>
        <v>0.99568655003463924</v>
      </c>
      <c r="K4" s="16">
        <f t="shared" si="1"/>
        <v>0.99735584146183953</v>
      </c>
      <c r="L4" s="16">
        <f t="shared" si="1"/>
        <v>0.9972587336748947</v>
      </c>
      <c r="M4">
        <v>1.018973214285714</v>
      </c>
      <c r="N4">
        <v>0.94064748201438841</v>
      </c>
      <c r="P4">
        <v>0.99113837764144519</v>
      </c>
      <c r="Q4">
        <v>1.037008166295472</v>
      </c>
      <c r="R4">
        <v>0.97919538351429314</v>
      </c>
      <c r="S4" s="3">
        <v>153.19999999999999</v>
      </c>
      <c r="T4" s="3">
        <v>102.8</v>
      </c>
      <c r="U4" s="3">
        <v>102.8</v>
      </c>
      <c r="V4" s="3">
        <v>108.9</v>
      </c>
      <c r="W4" s="2">
        <v>113.5</v>
      </c>
      <c r="X4" s="2">
        <v>145.4</v>
      </c>
      <c r="Y4">
        <f>T4/T$4</f>
        <v>1</v>
      </c>
      <c r="Z4">
        <f t="shared" ref="Z4:AC4" si="2">U4/U$4</f>
        <v>1</v>
      </c>
      <c r="AA4">
        <f t="shared" si="2"/>
        <v>1</v>
      </c>
      <c r="AB4">
        <f t="shared" si="2"/>
        <v>1</v>
      </c>
      <c r="AC4">
        <f t="shared" si="2"/>
        <v>1</v>
      </c>
    </row>
    <row r="5" spans="1:29" x14ac:dyDescent="0.3">
      <c r="A5" s="5">
        <v>42064</v>
      </c>
      <c r="B5">
        <v>1.0031948881789139</v>
      </c>
      <c r="C5">
        <v>0.98435277382645814</v>
      </c>
      <c r="D5">
        <v>1.0042553191489361</v>
      </c>
      <c r="E5">
        <v>0.99352750809061474</v>
      </c>
      <c r="F5" s="16">
        <f t="shared" ref="F5:F36" si="3">VLOOKUP(YEAR($A5),_HOUT_INDEX_TAB,COLUMN(A3)+1,FALSE)+(VLOOKUP(YEAR($A5)+1,_HOUT_INDEX_TAB,COLUMN(A3)+1,FALSE)-VLOOKUP(YEAR($A5),_HOUT_INDEX_TAB,COLUMN(A3)+1,FALSE))*((MONTH($A5)-1)/12)</f>
        <v>0.99711985151874916</v>
      </c>
      <c r="G5" s="16">
        <f t="shared" ref="G5:G36" si="4">VLOOKUP(YEAR($A5),_HOUT_INDEX_TAB,COLUMN(B3)+1,FALSE)+(VLOOKUP(YEAR($A5)+1,_HOUT_INDEX_TAB,COLUMN(B3)+1,FALSE)-VLOOKUP(YEAR($A5),_HOUT_INDEX_TAB,COLUMN(B3)+1,FALSE))*((MONTH($A5)-1)/12)</f>
        <v>1.0002789996800863</v>
      </c>
      <c r="H5" s="16">
        <f t="shared" ref="H5:H36" si="5">VLOOKUP(YEAR($A5),_HOUT_INDEX_TAB,COLUMN(C3)+1,FALSE)+(VLOOKUP(YEAR($A5)+1,_HOUT_INDEX_TAB,COLUMN(C3)+1,FALSE)-VLOOKUP(YEAR($A5),_HOUT_INDEX_TAB,COLUMN(C3)+1,FALSE))*((MONTH($A5)-1)/12)</f>
        <v>1.0041917224605252</v>
      </c>
      <c r="I5" s="16">
        <f t="shared" ref="I5:I36" si="6">VLOOKUP(YEAR($A5),_HOUT_INDEX_TAB,COLUMN(D3)+1,FALSE)+(VLOOKUP(YEAR($A5)+1,_HOUT_INDEX_TAB,COLUMN(D3)+1,FALSE)-VLOOKUP(YEAR($A5),_HOUT_INDEX_TAB,COLUMN(D3)+1,FALSE))*((MONTH($A5)-1)/12)</f>
        <v>0.9929271141413587</v>
      </c>
      <c r="J5" s="16">
        <f t="shared" ref="J5:J36" si="7">VLOOKUP(YEAR($A5),_HOUT_INDEX_TAB,COLUMN(E3)+1,FALSE)+(VLOOKUP(YEAR($A5)+1,_HOUT_INDEX_TAB,COLUMN(E3)+1,FALSE)-VLOOKUP(YEAR($A5),_HOUT_INDEX_TAB,COLUMN(E3)+1,FALSE))*((MONTH($A5)-1)/12)</f>
        <v>0.99137310006927837</v>
      </c>
      <c r="K5" s="16">
        <f t="shared" ref="K5:K36" si="8">VLOOKUP(YEAR($A5),_HOUT_INDEX_TAB,COLUMN(F3)+1,FALSE)+(VLOOKUP(YEAR($A5)+1,_HOUT_INDEX_TAB,COLUMN(F3)+1,FALSE)-VLOOKUP(YEAR($A5),_HOUT_INDEX_TAB,COLUMN(F3)+1,FALSE))*((MONTH($A5)-1)/12)</f>
        <v>0.99471168292367906</v>
      </c>
      <c r="L5" s="16">
        <f t="shared" ref="L5:L36" si="9">VLOOKUP(YEAR($A5),_HOUT_INDEX_TAB,COLUMN(G3)+1,FALSE)+(VLOOKUP(YEAR($A5)+1,_HOUT_INDEX_TAB,COLUMN(G3)+1,FALSE)-VLOOKUP(YEAR($A5),_HOUT_INDEX_TAB,COLUMN(G3)+1,FALSE))*((MONTH($A5)-1)/12)</f>
        <v>0.99451746734978941</v>
      </c>
      <c r="M5">
        <v>1.0234375</v>
      </c>
      <c r="N5">
        <v>0.92266187050359705</v>
      </c>
      <c r="P5">
        <v>0.99591002044989774</v>
      </c>
      <c r="Q5">
        <v>1.0297293649186741</v>
      </c>
      <c r="R5">
        <v>0.9611395055403984</v>
      </c>
      <c r="S5" s="3">
        <v>153.19999999999999</v>
      </c>
      <c r="T5" s="3">
        <v>100.1</v>
      </c>
      <c r="U5" s="3">
        <v>100.1</v>
      </c>
      <c r="V5" s="3">
        <v>107</v>
      </c>
      <c r="W5" s="2">
        <v>113.5</v>
      </c>
      <c r="X5" s="2">
        <v>146.1</v>
      </c>
      <c r="Y5">
        <f t="shared" ref="Y5:Y68" si="10">T5/T$4</f>
        <v>0.97373540856031127</v>
      </c>
      <c r="Z5">
        <f t="shared" ref="Z5:Z68" si="11">U5/U$4</f>
        <v>0.97373540856031127</v>
      </c>
      <c r="AA5">
        <f t="shared" ref="AA5:AA68" si="12">V5/V$4</f>
        <v>0.98255280073461881</v>
      </c>
      <c r="AB5">
        <f t="shared" ref="AB5:AB68" si="13">W5/W$4</f>
        <v>1</v>
      </c>
      <c r="AC5">
        <f t="shared" ref="AC5:AC68" si="14">X5/X$4</f>
        <v>1.0048143053645116</v>
      </c>
    </row>
    <row r="6" spans="1:29" x14ac:dyDescent="0.3">
      <c r="A6" s="5">
        <v>42095</v>
      </c>
      <c r="B6">
        <v>1.0031948881789139</v>
      </c>
      <c r="C6">
        <v>0.98293029871977233</v>
      </c>
      <c r="D6">
        <v>1.0053191489361699</v>
      </c>
      <c r="E6">
        <v>0.99460625674217906</v>
      </c>
      <c r="F6" s="16">
        <f t="shared" si="3"/>
        <v>0.99567977727812362</v>
      </c>
      <c r="G6" s="16">
        <f t="shared" si="4"/>
        <v>1.0004184995201295</v>
      </c>
      <c r="H6" s="16">
        <f t="shared" si="5"/>
        <v>1.0062875836907876</v>
      </c>
      <c r="I6" s="16">
        <f t="shared" si="6"/>
        <v>0.98939067121203794</v>
      </c>
      <c r="J6" s="16">
        <f t="shared" si="7"/>
        <v>0.98705965010391761</v>
      </c>
      <c r="K6" s="16">
        <f t="shared" si="8"/>
        <v>0.9920675243855186</v>
      </c>
      <c r="L6" s="16">
        <f t="shared" si="9"/>
        <v>0.99177620102468411</v>
      </c>
      <c r="M6">
        <v>1.029017857142857</v>
      </c>
      <c r="N6">
        <v>0.90332733812949639</v>
      </c>
      <c r="P6">
        <v>0.9897750511247444</v>
      </c>
      <c r="Q6">
        <v>1.0646250927988119</v>
      </c>
      <c r="R6">
        <v>1.0276133802539009</v>
      </c>
      <c r="S6" s="3">
        <v>153.19999999999999</v>
      </c>
      <c r="T6" s="3">
        <v>99.5</v>
      </c>
      <c r="U6" s="3">
        <v>99.5</v>
      </c>
      <c r="V6" s="3">
        <v>105.7</v>
      </c>
      <c r="W6" s="2">
        <v>113.5</v>
      </c>
      <c r="X6" s="2">
        <v>145.19999999999999</v>
      </c>
      <c r="Y6">
        <f t="shared" si="10"/>
        <v>0.96789883268482491</v>
      </c>
      <c r="Z6">
        <f t="shared" si="11"/>
        <v>0.96789883268482491</v>
      </c>
      <c r="AA6">
        <f t="shared" si="12"/>
        <v>0.97061524334251603</v>
      </c>
      <c r="AB6">
        <f t="shared" si="13"/>
        <v>1</v>
      </c>
      <c r="AC6">
        <f t="shared" si="14"/>
        <v>0.99862448418156802</v>
      </c>
    </row>
    <row r="7" spans="1:29" x14ac:dyDescent="0.3">
      <c r="A7" s="5">
        <v>42125</v>
      </c>
      <c r="B7">
        <v>1.0042598509052181</v>
      </c>
      <c r="C7">
        <v>0.98150782361308686</v>
      </c>
      <c r="D7">
        <v>1.0053191489361699</v>
      </c>
      <c r="E7">
        <v>1.001078748651564</v>
      </c>
      <c r="F7" s="16">
        <f t="shared" si="3"/>
        <v>0.9942397030374982</v>
      </c>
      <c r="G7" s="16">
        <f t="shared" si="4"/>
        <v>1.0005579993601725</v>
      </c>
      <c r="H7" s="16">
        <f t="shared" si="5"/>
        <v>1.0083834449210503</v>
      </c>
      <c r="I7" s="16">
        <f t="shared" si="6"/>
        <v>0.98585422828271729</v>
      </c>
      <c r="J7" s="16">
        <f t="shared" si="7"/>
        <v>0.98274620013855685</v>
      </c>
      <c r="K7" s="16">
        <f t="shared" si="8"/>
        <v>0.98942336584735813</v>
      </c>
      <c r="L7" s="16">
        <f t="shared" si="9"/>
        <v>0.98903493469957882</v>
      </c>
      <c r="M7">
        <v>1.03125</v>
      </c>
      <c r="N7">
        <v>0.89163669064748208</v>
      </c>
      <c r="P7">
        <v>0.99113837764144519</v>
      </c>
      <c r="Q7">
        <v>1.081858320634548</v>
      </c>
      <c r="R7">
        <v>1.15257973457053</v>
      </c>
      <c r="S7" s="3">
        <v>153.1</v>
      </c>
      <c r="T7" s="3">
        <v>99.9</v>
      </c>
      <c r="U7" s="3">
        <v>99.9</v>
      </c>
      <c r="V7" s="3">
        <v>105.2</v>
      </c>
      <c r="W7" s="2">
        <v>113.5</v>
      </c>
      <c r="X7" s="2">
        <v>145.4</v>
      </c>
      <c r="Y7">
        <f t="shared" si="10"/>
        <v>0.97178988326848259</v>
      </c>
      <c r="Z7">
        <f t="shared" si="11"/>
        <v>0.97178988326848259</v>
      </c>
      <c r="AA7">
        <f t="shared" si="12"/>
        <v>0.96602387511478416</v>
      </c>
      <c r="AB7">
        <f t="shared" si="13"/>
        <v>1</v>
      </c>
      <c r="AC7">
        <f t="shared" si="14"/>
        <v>1</v>
      </c>
    </row>
    <row r="8" spans="1:29" x14ac:dyDescent="0.3">
      <c r="A8" s="5">
        <v>42156</v>
      </c>
      <c r="B8">
        <v>1.0053248136315229</v>
      </c>
      <c r="C8">
        <v>0.97724039829303</v>
      </c>
      <c r="D8">
        <v>1.0085106382978719</v>
      </c>
      <c r="E8">
        <v>1.006472491909385</v>
      </c>
      <c r="F8" s="16">
        <f t="shared" si="3"/>
        <v>0.99279962879687278</v>
      </c>
      <c r="G8" s="16">
        <f t="shared" si="4"/>
        <v>1.0006974992002156</v>
      </c>
      <c r="H8" s="16">
        <f t="shared" si="5"/>
        <v>1.0104793061513129</v>
      </c>
      <c r="I8" s="16">
        <f t="shared" si="6"/>
        <v>0.98231778535339664</v>
      </c>
      <c r="J8" s="16">
        <f t="shared" si="7"/>
        <v>0.97843275017319598</v>
      </c>
      <c r="K8" s="16">
        <f t="shared" si="8"/>
        <v>0.98677920730919766</v>
      </c>
      <c r="L8" s="16">
        <f t="shared" si="9"/>
        <v>0.98629366837447352</v>
      </c>
      <c r="M8">
        <v>1.022321428571429</v>
      </c>
      <c r="N8">
        <v>0.90062949640287771</v>
      </c>
      <c r="P8">
        <v>0.98704839809134304</v>
      </c>
      <c r="Q8">
        <v>1.0742727947627719</v>
      </c>
      <c r="R8">
        <v>1.187269417207949</v>
      </c>
      <c r="S8" s="3">
        <v>153.1</v>
      </c>
      <c r="T8" s="3">
        <v>99.6</v>
      </c>
      <c r="U8" s="3">
        <v>99.6</v>
      </c>
      <c r="V8" s="3">
        <v>104.5</v>
      </c>
      <c r="W8" s="2">
        <v>113.5</v>
      </c>
      <c r="X8" s="2">
        <v>144.80000000000001</v>
      </c>
      <c r="Y8">
        <f t="shared" si="10"/>
        <v>0.9688715953307393</v>
      </c>
      <c r="Z8">
        <f t="shared" si="11"/>
        <v>0.9688715953307393</v>
      </c>
      <c r="AA8">
        <f t="shared" si="12"/>
        <v>0.95959595959595956</v>
      </c>
      <c r="AB8">
        <f t="shared" si="13"/>
        <v>1</v>
      </c>
      <c r="AC8">
        <f t="shared" si="14"/>
        <v>0.99587345254470427</v>
      </c>
    </row>
    <row r="9" spans="1:29" x14ac:dyDescent="0.3">
      <c r="A9" s="5">
        <v>42186</v>
      </c>
      <c r="B9">
        <v>1.0053248136315229</v>
      </c>
      <c r="C9">
        <v>0.96870554765291605</v>
      </c>
      <c r="D9">
        <v>1.0085106382978719</v>
      </c>
      <c r="E9">
        <v>1.0118662351672061</v>
      </c>
      <c r="F9" s="16">
        <f t="shared" si="3"/>
        <v>0.99135955455624725</v>
      </c>
      <c r="G9" s="16">
        <f t="shared" si="4"/>
        <v>1.0008369990402588</v>
      </c>
      <c r="H9" s="16">
        <f t="shared" si="5"/>
        <v>1.0125751673815755</v>
      </c>
      <c r="I9" s="16">
        <f t="shared" si="6"/>
        <v>0.97878134242407588</v>
      </c>
      <c r="J9" s="16">
        <f t="shared" si="7"/>
        <v>0.97411930020783521</v>
      </c>
      <c r="K9" s="16">
        <f t="shared" si="8"/>
        <v>0.98413504877103719</v>
      </c>
      <c r="L9" s="16">
        <f t="shared" si="9"/>
        <v>0.98355240204936822</v>
      </c>
      <c r="M9">
        <v>1.011160714285714</v>
      </c>
      <c r="N9">
        <v>0.89118705035971213</v>
      </c>
      <c r="P9">
        <v>0.99659168370824813</v>
      </c>
      <c r="Q9">
        <v>1.07420677189245</v>
      </c>
      <c r="R9">
        <v>1.057017196610389</v>
      </c>
      <c r="S9" s="3">
        <v>152.5</v>
      </c>
      <c r="T9" s="3">
        <v>99.2</v>
      </c>
      <c r="U9" s="3">
        <v>99.2</v>
      </c>
      <c r="V9" s="3">
        <v>106.8</v>
      </c>
      <c r="W9" s="2">
        <v>113.5</v>
      </c>
      <c r="X9" s="2">
        <v>146.19999999999999</v>
      </c>
      <c r="Y9">
        <f t="shared" si="10"/>
        <v>0.96498054474708173</v>
      </c>
      <c r="Z9">
        <f t="shared" si="11"/>
        <v>0.96498054474708173</v>
      </c>
      <c r="AA9">
        <f t="shared" si="12"/>
        <v>0.98071625344352609</v>
      </c>
      <c r="AB9">
        <f t="shared" si="13"/>
        <v>1</v>
      </c>
      <c r="AC9">
        <f t="shared" si="14"/>
        <v>1.0055020632737275</v>
      </c>
    </row>
    <row r="10" spans="1:29" x14ac:dyDescent="0.3">
      <c r="A10" s="5">
        <v>42217</v>
      </c>
      <c r="B10">
        <v>1.0053248136315229</v>
      </c>
      <c r="C10">
        <v>0.96017069701280233</v>
      </c>
      <c r="D10">
        <v>1.0085106382978719</v>
      </c>
      <c r="E10">
        <v>1.0129449838187701</v>
      </c>
      <c r="F10" s="16">
        <f t="shared" si="3"/>
        <v>0.98991948031562182</v>
      </c>
      <c r="G10" s="16">
        <f t="shared" si="4"/>
        <v>1.000976498880302</v>
      </c>
      <c r="H10" s="16">
        <f t="shared" si="5"/>
        <v>1.0146710286118381</v>
      </c>
      <c r="I10" s="16">
        <f t="shared" si="6"/>
        <v>0.97524489949475524</v>
      </c>
      <c r="J10" s="16">
        <f t="shared" si="7"/>
        <v>0.96980585024247445</v>
      </c>
      <c r="K10" s="16">
        <f t="shared" si="8"/>
        <v>0.98149089023287683</v>
      </c>
      <c r="L10" s="16">
        <f t="shared" si="9"/>
        <v>0.98081113572426304</v>
      </c>
      <c r="M10">
        <v>0.9988839285714286</v>
      </c>
      <c r="N10">
        <v>0.86780575539568339</v>
      </c>
      <c r="P10">
        <v>0.989093387866394</v>
      </c>
      <c r="Q10">
        <v>1.066406829992576</v>
      </c>
      <c r="R10">
        <v>1.057548165163497</v>
      </c>
      <c r="S10" s="3">
        <v>152.9</v>
      </c>
      <c r="T10" s="3">
        <v>99.8</v>
      </c>
      <c r="U10" s="3">
        <v>99.8</v>
      </c>
      <c r="V10" s="3">
        <v>102.9</v>
      </c>
      <c r="W10" s="2">
        <v>113.5</v>
      </c>
      <c r="X10" s="2">
        <v>145.1</v>
      </c>
      <c r="Y10">
        <f t="shared" si="10"/>
        <v>0.97081712062256809</v>
      </c>
      <c r="Z10">
        <f t="shared" si="11"/>
        <v>0.97081712062256809</v>
      </c>
      <c r="AA10">
        <f t="shared" si="12"/>
        <v>0.94490358126721763</v>
      </c>
      <c r="AB10">
        <f t="shared" si="13"/>
        <v>1</v>
      </c>
      <c r="AC10">
        <f t="shared" si="14"/>
        <v>0.99793672627235208</v>
      </c>
    </row>
    <row r="11" spans="1:29" x14ac:dyDescent="0.3">
      <c r="A11" s="5">
        <v>42248</v>
      </c>
      <c r="B11">
        <v>1.0063897763578269</v>
      </c>
      <c r="C11">
        <v>0.94879089615931733</v>
      </c>
      <c r="D11">
        <v>1.0106382978723401</v>
      </c>
      <c r="E11">
        <v>1.0118662351672061</v>
      </c>
      <c r="F11" s="16">
        <f t="shared" si="3"/>
        <v>0.9884794060749964</v>
      </c>
      <c r="G11" s="16">
        <f t="shared" si="4"/>
        <v>1.0011159987203451</v>
      </c>
      <c r="H11" s="16">
        <f t="shared" si="5"/>
        <v>1.0167668898421007</v>
      </c>
      <c r="I11" s="16">
        <f t="shared" si="6"/>
        <v>0.97170845656543459</v>
      </c>
      <c r="J11" s="16">
        <f t="shared" si="7"/>
        <v>0.96549240027711358</v>
      </c>
      <c r="K11" s="16">
        <f t="shared" si="8"/>
        <v>0.97884673169471637</v>
      </c>
      <c r="L11" s="16">
        <f t="shared" si="9"/>
        <v>0.97806986939915774</v>
      </c>
      <c r="M11">
        <v>0.9799107142857143</v>
      </c>
      <c r="N11">
        <v>0.8565647482014388</v>
      </c>
      <c r="P11">
        <v>0.97682344921608744</v>
      </c>
      <c r="Q11">
        <v>1.02058446379159</v>
      </c>
      <c r="R11">
        <v>0.99970509215507175</v>
      </c>
      <c r="S11" s="3">
        <v>152.80000000000001</v>
      </c>
      <c r="T11" s="3">
        <v>98.6</v>
      </c>
      <c r="U11" s="3">
        <v>98.6</v>
      </c>
      <c r="V11" s="3">
        <v>101.8</v>
      </c>
      <c r="W11" s="2">
        <v>113.5</v>
      </c>
      <c r="X11" s="2">
        <v>143.30000000000001</v>
      </c>
      <c r="Y11">
        <f t="shared" si="10"/>
        <v>0.95914396887159525</v>
      </c>
      <c r="Z11">
        <f t="shared" si="11"/>
        <v>0.95914396887159525</v>
      </c>
      <c r="AA11">
        <f t="shared" si="12"/>
        <v>0.93480257116620746</v>
      </c>
      <c r="AB11">
        <f t="shared" si="13"/>
        <v>1</v>
      </c>
      <c r="AC11">
        <f t="shared" si="14"/>
        <v>0.98555708390646501</v>
      </c>
    </row>
    <row r="12" spans="1:29" x14ac:dyDescent="0.3">
      <c r="A12" s="5">
        <v>42278</v>
      </c>
      <c r="B12">
        <v>1.0063897763578269</v>
      </c>
      <c r="C12">
        <v>0.93029871977240408</v>
      </c>
      <c r="D12">
        <v>1.009574468085106</v>
      </c>
      <c r="E12">
        <v>1.008629989212513</v>
      </c>
      <c r="F12" s="16">
        <f t="shared" si="3"/>
        <v>0.98703933183437098</v>
      </c>
      <c r="G12" s="16">
        <f t="shared" si="4"/>
        <v>1.0012554985603881</v>
      </c>
      <c r="H12" s="16">
        <f t="shared" si="5"/>
        <v>1.0188627510723633</v>
      </c>
      <c r="I12" s="16">
        <f t="shared" si="6"/>
        <v>0.96817201363611394</v>
      </c>
      <c r="J12" s="16">
        <f t="shared" si="7"/>
        <v>0.96117895031175282</v>
      </c>
      <c r="K12" s="16">
        <f t="shared" si="8"/>
        <v>0.9762025731565559</v>
      </c>
      <c r="L12" s="16">
        <f t="shared" si="9"/>
        <v>0.97532860307405245</v>
      </c>
      <c r="M12">
        <v>0.96763392857142871</v>
      </c>
      <c r="N12">
        <v>0.81609712230215825</v>
      </c>
      <c r="P12">
        <v>0.97682344921608744</v>
      </c>
      <c r="Q12">
        <v>1.0249038266855639</v>
      </c>
      <c r="R12">
        <v>0.98865506110589307</v>
      </c>
      <c r="S12" s="3">
        <v>152.69999999999999</v>
      </c>
      <c r="T12" s="3">
        <v>97.7</v>
      </c>
      <c r="U12" s="3">
        <v>97.7</v>
      </c>
      <c r="V12" s="3">
        <v>102.1</v>
      </c>
      <c r="W12" s="2">
        <v>113.5</v>
      </c>
      <c r="X12" s="2">
        <v>143.30000000000001</v>
      </c>
      <c r="Y12">
        <f t="shared" si="10"/>
        <v>0.95038910505836582</v>
      </c>
      <c r="Z12">
        <f t="shared" si="11"/>
        <v>0.95038910505836582</v>
      </c>
      <c r="AA12">
        <f t="shared" si="12"/>
        <v>0.9375573921028465</v>
      </c>
      <c r="AB12">
        <f t="shared" si="13"/>
        <v>1</v>
      </c>
      <c r="AC12">
        <f t="shared" si="14"/>
        <v>0.98555708390646501</v>
      </c>
    </row>
    <row r="13" spans="1:29" x14ac:dyDescent="0.3">
      <c r="A13" s="5">
        <v>42309</v>
      </c>
      <c r="B13">
        <v>1.007454739084132</v>
      </c>
      <c r="C13">
        <v>0.91180654338549072</v>
      </c>
      <c r="D13">
        <v>1.0117021276595739</v>
      </c>
      <c r="E13">
        <v>1.006472491909385</v>
      </c>
      <c r="F13" s="16">
        <f t="shared" si="3"/>
        <v>0.98559925759374556</v>
      </c>
      <c r="G13" s="16">
        <f t="shared" si="4"/>
        <v>1.0013949984004313</v>
      </c>
      <c r="H13" s="16">
        <f t="shared" si="5"/>
        <v>1.0209586123026257</v>
      </c>
      <c r="I13" s="16">
        <f t="shared" si="6"/>
        <v>0.96463557070679329</v>
      </c>
      <c r="J13" s="16">
        <f t="shared" si="7"/>
        <v>0.95686550034639206</v>
      </c>
      <c r="K13" s="16">
        <f t="shared" si="8"/>
        <v>0.97355841461839543</v>
      </c>
      <c r="L13" s="16">
        <f t="shared" si="9"/>
        <v>0.97258733674894715</v>
      </c>
      <c r="M13">
        <v>0.95647321428571441</v>
      </c>
      <c r="N13">
        <v>0.78776978417266175</v>
      </c>
      <c r="P13">
        <v>0.97682344921608744</v>
      </c>
      <c r="Q13">
        <v>1.0277866157598901</v>
      </c>
      <c r="R13">
        <v>1.03663084534467</v>
      </c>
      <c r="S13" s="3">
        <v>152.9</v>
      </c>
      <c r="T13" s="3">
        <v>97.1</v>
      </c>
      <c r="U13" s="3">
        <v>97.1</v>
      </c>
      <c r="V13" s="3">
        <v>99.8</v>
      </c>
      <c r="W13" s="2">
        <v>115.6</v>
      </c>
      <c r="X13" s="2">
        <v>143.30000000000001</v>
      </c>
      <c r="Y13">
        <f t="shared" si="10"/>
        <v>0.94455252918287935</v>
      </c>
      <c r="Z13">
        <f t="shared" si="11"/>
        <v>0.94455252918287935</v>
      </c>
      <c r="AA13">
        <f t="shared" si="12"/>
        <v>0.91643709825527997</v>
      </c>
      <c r="AB13">
        <f t="shared" si="13"/>
        <v>1.0185022026431718</v>
      </c>
      <c r="AC13">
        <f t="shared" si="14"/>
        <v>0.98555708390646501</v>
      </c>
    </row>
    <row r="14" spans="1:29" x14ac:dyDescent="0.3">
      <c r="A14" s="5">
        <v>42339</v>
      </c>
      <c r="B14">
        <v>1.007454739084132</v>
      </c>
      <c r="C14">
        <v>0.89615931721194886</v>
      </c>
      <c r="D14">
        <v>1.0106382978723401</v>
      </c>
      <c r="E14">
        <v>1.007551240560949</v>
      </c>
      <c r="F14" s="16">
        <f t="shared" si="3"/>
        <v>0.98415918335312003</v>
      </c>
      <c r="G14" s="16">
        <f t="shared" si="4"/>
        <v>1.0015344982404746</v>
      </c>
      <c r="H14" s="16">
        <f t="shared" si="5"/>
        <v>1.0230544735328884</v>
      </c>
      <c r="I14" s="16">
        <f t="shared" si="6"/>
        <v>0.96109912777747253</v>
      </c>
      <c r="J14" s="16">
        <f t="shared" si="7"/>
        <v>0.95255205038103119</v>
      </c>
      <c r="K14" s="16">
        <f t="shared" si="8"/>
        <v>0.97091425608023496</v>
      </c>
      <c r="L14" s="16">
        <f t="shared" si="9"/>
        <v>0.96984607042384186</v>
      </c>
      <c r="M14">
        <v>0.94754464285714302</v>
      </c>
      <c r="N14">
        <v>0.77428057553956831</v>
      </c>
      <c r="P14">
        <v>0.97682344921608744</v>
      </c>
      <c r="Q14">
        <v>1.045109060699261</v>
      </c>
      <c r="R14">
        <v>1.0608433793315171</v>
      </c>
      <c r="S14" s="3">
        <v>152.9</v>
      </c>
      <c r="T14" s="3">
        <v>97.1</v>
      </c>
      <c r="U14" s="3">
        <v>97.1</v>
      </c>
      <c r="V14" s="3">
        <v>100.9</v>
      </c>
      <c r="W14" s="2">
        <v>115.6</v>
      </c>
      <c r="X14" s="2">
        <v>143.30000000000001</v>
      </c>
      <c r="Y14">
        <f t="shared" si="10"/>
        <v>0.94455252918287935</v>
      </c>
      <c r="Z14">
        <f t="shared" si="11"/>
        <v>0.94455252918287935</v>
      </c>
      <c r="AA14">
        <f t="shared" si="12"/>
        <v>0.92653810835629014</v>
      </c>
      <c r="AB14">
        <f t="shared" si="13"/>
        <v>1.0185022026431718</v>
      </c>
      <c r="AC14">
        <f t="shared" si="14"/>
        <v>0.98555708390646501</v>
      </c>
    </row>
    <row r="15" spans="1:29" x14ac:dyDescent="0.3">
      <c r="A15" s="5">
        <v>42370</v>
      </c>
      <c r="B15">
        <v>1.008519701810437</v>
      </c>
      <c r="C15">
        <v>0.8904694167852063</v>
      </c>
      <c r="D15">
        <v>1.0127659574468091</v>
      </c>
      <c r="E15">
        <v>1.006472491909385</v>
      </c>
      <c r="F15" s="16">
        <f t="shared" si="3"/>
        <v>0.9827191091124946</v>
      </c>
      <c r="G15" s="16">
        <f t="shared" si="4"/>
        <v>1.0016739980805176</v>
      </c>
      <c r="H15" s="16">
        <f t="shared" si="5"/>
        <v>1.025150334763151</v>
      </c>
      <c r="I15" s="16">
        <f t="shared" si="6"/>
        <v>0.95756268484815188</v>
      </c>
      <c r="J15" s="16">
        <f t="shared" si="7"/>
        <v>0.94823860041567043</v>
      </c>
      <c r="K15" s="16">
        <f t="shared" si="8"/>
        <v>0.96827009754207449</v>
      </c>
      <c r="L15" s="16">
        <f t="shared" si="9"/>
        <v>0.96710480409873656</v>
      </c>
      <c r="M15">
        <v>0.9319196428571429</v>
      </c>
      <c r="N15">
        <v>0.77832733812949639</v>
      </c>
      <c r="P15">
        <v>0.97477845944103625</v>
      </c>
      <c r="Q15">
        <v>1.020786933927246</v>
      </c>
      <c r="R15">
        <v>1.047913011278593</v>
      </c>
      <c r="S15" s="3">
        <v>153</v>
      </c>
      <c r="T15" s="3">
        <v>96.3</v>
      </c>
      <c r="U15" s="3">
        <v>96.3</v>
      </c>
      <c r="V15" s="3">
        <v>94.2</v>
      </c>
      <c r="W15" s="2">
        <v>115.6</v>
      </c>
      <c r="X15" s="2">
        <v>143</v>
      </c>
      <c r="Y15">
        <f t="shared" si="10"/>
        <v>0.9367704280155642</v>
      </c>
      <c r="Z15">
        <f t="shared" si="11"/>
        <v>0.9367704280155642</v>
      </c>
      <c r="AA15">
        <f t="shared" si="12"/>
        <v>0.86501377410468316</v>
      </c>
      <c r="AB15">
        <f t="shared" si="13"/>
        <v>1.0185022026431718</v>
      </c>
      <c r="AC15">
        <f t="shared" si="14"/>
        <v>0.98349381017881699</v>
      </c>
    </row>
    <row r="16" spans="1:29" x14ac:dyDescent="0.3">
      <c r="A16" s="5">
        <v>42401</v>
      </c>
      <c r="B16">
        <v>1.0063897763578269</v>
      </c>
      <c r="C16">
        <v>0.87055476529160747</v>
      </c>
      <c r="D16">
        <v>1.0117021276595739</v>
      </c>
      <c r="E16">
        <v>1.001078748651564</v>
      </c>
      <c r="F16" s="16">
        <f t="shared" si="3"/>
        <v>0.98934158526248561</v>
      </c>
      <c r="G16" s="16">
        <f t="shared" si="4"/>
        <v>1.0092609269157342</v>
      </c>
      <c r="H16" s="16">
        <f t="shared" si="5"/>
        <v>1.0323942370406787</v>
      </c>
      <c r="I16" s="16">
        <f t="shared" si="6"/>
        <v>0.96310984994090554</v>
      </c>
      <c r="J16" s="16">
        <f t="shared" si="7"/>
        <v>0.95154017287834858</v>
      </c>
      <c r="K16" s="16">
        <f t="shared" si="8"/>
        <v>0.97755222443944123</v>
      </c>
      <c r="L16" s="16">
        <f t="shared" si="9"/>
        <v>0.97742922464712501</v>
      </c>
      <c r="M16">
        <v>0.92857142857142871</v>
      </c>
      <c r="N16">
        <v>0.77652877697841716</v>
      </c>
      <c r="P16">
        <v>0.97477845944103625</v>
      </c>
      <c r="Q16">
        <v>0.98843991939760356</v>
      </c>
      <c r="R16">
        <v>1.0521036540714841</v>
      </c>
      <c r="S16" s="3">
        <v>153.1</v>
      </c>
      <c r="T16" s="3">
        <v>94.4</v>
      </c>
      <c r="U16" s="3">
        <v>94.4</v>
      </c>
      <c r="V16" s="3">
        <v>93.5</v>
      </c>
      <c r="W16" s="2">
        <v>115.6</v>
      </c>
      <c r="X16" s="2">
        <v>143</v>
      </c>
      <c r="Y16">
        <f t="shared" si="10"/>
        <v>0.91828793774319073</v>
      </c>
      <c r="Z16">
        <f t="shared" si="11"/>
        <v>0.91828793774319073</v>
      </c>
      <c r="AA16">
        <f t="shared" si="12"/>
        <v>0.85858585858585856</v>
      </c>
      <c r="AB16">
        <f t="shared" si="13"/>
        <v>1.0185022026431718</v>
      </c>
      <c r="AC16">
        <f t="shared" si="14"/>
        <v>0.98349381017881699</v>
      </c>
    </row>
    <row r="17" spans="1:29" x14ac:dyDescent="0.3">
      <c r="A17" s="5">
        <v>42430</v>
      </c>
      <c r="B17">
        <v>1.0053248136315229</v>
      </c>
      <c r="C17">
        <v>0.86201991465149364</v>
      </c>
      <c r="D17">
        <v>1.009574468085106</v>
      </c>
      <c r="E17">
        <v>1</v>
      </c>
      <c r="F17" s="16">
        <f t="shared" si="3"/>
        <v>0.99596406141247673</v>
      </c>
      <c r="G17" s="16">
        <f t="shared" si="4"/>
        <v>1.016847855750951</v>
      </c>
      <c r="H17" s="16">
        <f t="shared" si="5"/>
        <v>1.0396381393182066</v>
      </c>
      <c r="I17" s="16">
        <f t="shared" si="6"/>
        <v>0.96865701503365909</v>
      </c>
      <c r="J17" s="16">
        <f t="shared" si="7"/>
        <v>0.95484174534102662</v>
      </c>
      <c r="K17" s="16">
        <f t="shared" si="8"/>
        <v>0.98683435133680786</v>
      </c>
      <c r="L17" s="16">
        <f t="shared" si="9"/>
        <v>0.98775364519551356</v>
      </c>
      <c r="M17">
        <v>0.92633928571428581</v>
      </c>
      <c r="N17">
        <v>0.78866906474820142</v>
      </c>
      <c r="P17">
        <v>0.96046353101567838</v>
      </c>
      <c r="Q17">
        <v>0.97189521688408176</v>
      </c>
      <c r="R17">
        <v>1.0711569564511501</v>
      </c>
      <c r="S17" s="3">
        <v>152.1</v>
      </c>
      <c r="T17" s="3">
        <v>94.1</v>
      </c>
      <c r="U17" s="3">
        <v>94.1</v>
      </c>
      <c r="V17" s="3">
        <v>91.8</v>
      </c>
      <c r="W17" s="2">
        <v>115.6</v>
      </c>
      <c r="X17" s="2">
        <v>140.9</v>
      </c>
      <c r="Y17">
        <f t="shared" si="10"/>
        <v>0.91536964980544744</v>
      </c>
      <c r="Z17">
        <f t="shared" si="11"/>
        <v>0.91536964980544744</v>
      </c>
      <c r="AA17">
        <f t="shared" si="12"/>
        <v>0.84297520661157022</v>
      </c>
      <c r="AB17">
        <f t="shared" si="13"/>
        <v>1.0185022026431718</v>
      </c>
      <c r="AC17">
        <f t="shared" si="14"/>
        <v>0.969050894085282</v>
      </c>
    </row>
    <row r="18" spans="1:29" x14ac:dyDescent="0.3">
      <c r="A18" s="5">
        <v>42461</v>
      </c>
      <c r="B18">
        <v>1.0053248136315229</v>
      </c>
      <c r="C18">
        <v>0.87482219061166433</v>
      </c>
      <c r="D18">
        <v>1.0106382978723401</v>
      </c>
      <c r="E18">
        <v>0.99892125134843568</v>
      </c>
      <c r="F18" s="16">
        <f t="shared" si="3"/>
        <v>1.0025865375624678</v>
      </c>
      <c r="G18" s="16">
        <f t="shared" si="4"/>
        <v>1.0244347845861679</v>
      </c>
      <c r="H18" s="16">
        <f t="shared" si="5"/>
        <v>1.0468820415957343</v>
      </c>
      <c r="I18" s="16">
        <f t="shared" si="6"/>
        <v>0.97420418012641274</v>
      </c>
      <c r="J18" s="16">
        <f t="shared" si="7"/>
        <v>0.95814331780370476</v>
      </c>
      <c r="K18" s="16">
        <f t="shared" si="8"/>
        <v>0.9961164782341746</v>
      </c>
      <c r="L18" s="16">
        <f t="shared" si="9"/>
        <v>0.99807806574390201</v>
      </c>
      <c r="M18">
        <v>0.91964285714285732</v>
      </c>
      <c r="N18">
        <v>0.82868705035971224</v>
      </c>
      <c r="P18">
        <v>0.96046353101567838</v>
      </c>
      <c r="Q18">
        <v>1.0286350620426341</v>
      </c>
      <c r="R18">
        <v>1.1250108240570671</v>
      </c>
      <c r="S18" s="3">
        <v>152.19999999999999</v>
      </c>
      <c r="T18" s="3">
        <v>94.5</v>
      </c>
      <c r="U18" s="3">
        <v>94.5</v>
      </c>
      <c r="V18" s="3">
        <v>91.4</v>
      </c>
      <c r="W18" s="2">
        <v>115.6</v>
      </c>
      <c r="X18" s="2">
        <v>140.9</v>
      </c>
      <c r="Y18">
        <f t="shared" si="10"/>
        <v>0.91926070038910512</v>
      </c>
      <c r="Z18">
        <f t="shared" si="11"/>
        <v>0.91926070038910512</v>
      </c>
      <c r="AA18">
        <f t="shared" si="12"/>
        <v>0.83930211202938476</v>
      </c>
      <c r="AB18">
        <f t="shared" si="13"/>
        <v>1.0185022026431718</v>
      </c>
      <c r="AC18">
        <f t="shared" si="14"/>
        <v>0.969050894085282</v>
      </c>
    </row>
    <row r="19" spans="1:29" x14ac:dyDescent="0.3">
      <c r="A19" s="5">
        <v>42491</v>
      </c>
      <c r="B19">
        <v>1.0053248136315229</v>
      </c>
      <c r="C19">
        <v>0.90042674253200572</v>
      </c>
      <c r="D19">
        <v>1.0106382978723401</v>
      </c>
      <c r="E19">
        <v>1.001078748651564</v>
      </c>
      <c r="F19" s="16">
        <f t="shared" si="3"/>
        <v>1.0092090137124587</v>
      </c>
      <c r="G19" s="16">
        <f t="shared" si="4"/>
        <v>1.0320217134213845</v>
      </c>
      <c r="H19" s="16">
        <f t="shared" si="5"/>
        <v>1.054125943873262</v>
      </c>
      <c r="I19" s="16">
        <f t="shared" si="6"/>
        <v>0.9797513452191664</v>
      </c>
      <c r="J19" s="16">
        <f t="shared" si="7"/>
        <v>0.96144489026638291</v>
      </c>
      <c r="K19" s="16">
        <f t="shared" si="8"/>
        <v>1.0053986051315413</v>
      </c>
      <c r="L19" s="16">
        <f t="shared" si="9"/>
        <v>1.0084024862922905</v>
      </c>
      <c r="M19">
        <v>0.9185267857142857</v>
      </c>
      <c r="N19">
        <v>0.86735611510791366</v>
      </c>
      <c r="P19">
        <v>0.96046353101567838</v>
      </c>
      <c r="Q19">
        <v>1.043466963622866</v>
      </c>
      <c r="R19">
        <v>1.1340967240195521</v>
      </c>
      <c r="S19" s="3">
        <v>152.1</v>
      </c>
      <c r="T19" s="3">
        <v>95</v>
      </c>
      <c r="U19" s="3">
        <v>95</v>
      </c>
      <c r="V19" s="3">
        <v>93.2</v>
      </c>
      <c r="W19" s="2">
        <v>115.6</v>
      </c>
      <c r="X19" s="2">
        <v>140.9</v>
      </c>
      <c r="Y19">
        <f t="shared" si="10"/>
        <v>0.92412451361867709</v>
      </c>
      <c r="Z19">
        <f t="shared" si="11"/>
        <v>0.92412451361867709</v>
      </c>
      <c r="AA19">
        <f t="shared" si="12"/>
        <v>0.85583103764921942</v>
      </c>
      <c r="AB19">
        <f t="shared" si="13"/>
        <v>1.0185022026431718</v>
      </c>
      <c r="AC19">
        <f t="shared" si="14"/>
        <v>0.969050894085282</v>
      </c>
    </row>
    <row r="20" spans="1:29" x14ac:dyDescent="0.3">
      <c r="A20" s="5">
        <v>42522</v>
      </c>
      <c r="B20">
        <v>1.0042598509052181</v>
      </c>
      <c r="C20">
        <v>0.91749644381223328</v>
      </c>
      <c r="D20">
        <v>1.0117021276595739</v>
      </c>
      <c r="E20">
        <v>1.001078748651564</v>
      </c>
      <c r="F20" s="16">
        <f t="shared" si="3"/>
        <v>1.0158314898624499</v>
      </c>
      <c r="G20" s="16">
        <f t="shared" si="4"/>
        <v>1.0396086422566011</v>
      </c>
      <c r="H20" s="16">
        <f t="shared" si="5"/>
        <v>1.0613698461507899</v>
      </c>
      <c r="I20" s="16">
        <f t="shared" si="6"/>
        <v>0.98529851031192006</v>
      </c>
      <c r="J20" s="16">
        <f t="shared" si="7"/>
        <v>0.96474646272906095</v>
      </c>
      <c r="K20" s="16">
        <f t="shared" si="8"/>
        <v>1.014680732028908</v>
      </c>
      <c r="L20" s="16">
        <f t="shared" si="9"/>
        <v>1.018726906840679</v>
      </c>
      <c r="M20">
        <v>0.9207589285714286</v>
      </c>
      <c r="N20">
        <v>0.86960431654676262</v>
      </c>
      <c r="P20">
        <v>0.96046353101567838</v>
      </c>
      <c r="Q20">
        <v>1.1002564621718289</v>
      </c>
      <c r="R20">
        <v>1.131516346371739</v>
      </c>
      <c r="S20" s="3">
        <v>152.1</v>
      </c>
      <c r="T20" s="3">
        <v>95.5</v>
      </c>
      <c r="U20" s="3">
        <v>95.5</v>
      </c>
      <c r="V20" s="3">
        <v>94.3</v>
      </c>
      <c r="W20" s="2">
        <v>115.6</v>
      </c>
      <c r="X20" s="2">
        <v>140.9</v>
      </c>
      <c r="Y20">
        <f t="shared" si="10"/>
        <v>0.92898832684824906</v>
      </c>
      <c r="Z20">
        <f t="shared" si="11"/>
        <v>0.92898832684824906</v>
      </c>
      <c r="AA20">
        <f t="shared" si="12"/>
        <v>0.86593204775022947</v>
      </c>
      <c r="AB20">
        <f t="shared" si="13"/>
        <v>1.0185022026431718</v>
      </c>
      <c r="AC20">
        <f t="shared" si="14"/>
        <v>0.969050894085282</v>
      </c>
    </row>
    <row r="21" spans="1:29" x14ac:dyDescent="0.3">
      <c r="A21" s="5">
        <v>42552</v>
      </c>
      <c r="B21">
        <v>1.0063897763578269</v>
      </c>
      <c r="C21">
        <v>0.92176386913229014</v>
      </c>
      <c r="D21">
        <v>1.0127659574468091</v>
      </c>
      <c r="E21">
        <v>1.001078748651564</v>
      </c>
      <c r="F21" s="16">
        <f t="shared" si="3"/>
        <v>1.022453966012441</v>
      </c>
      <c r="G21" s="16">
        <f t="shared" si="4"/>
        <v>1.0471955710918179</v>
      </c>
      <c r="H21" s="16">
        <f t="shared" si="5"/>
        <v>1.0686137484283176</v>
      </c>
      <c r="I21" s="16">
        <f t="shared" si="6"/>
        <v>0.99084567540467372</v>
      </c>
      <c r="J21" s="16">
        <f t="shared" si="7"/>
        <v>0.9680480351917391</v>
      </c>
      <c r="K21" s="16">
        <f t="shared" si="8"/>
        <v>1.0239628589262748</v>
      </c>
      <c r="L21" s="16">
        <f t="shared" si="9"/>
        <v>1.0290513273890673</v>
      </c>
      <c r="M21">
        <v>0.92522321428571441</v>
      </c>
      <c r="N21">
        <v>0.87050359712230208</v>
      </c>
      <c r="P21">
        <v>0.96046353101567838</v>
      </c>
      <c r="Q21">
        <v>1.2036271078587339</v>
      </c>
      <c r="R21">
        <v>1.17694282404409</v>
      </c>
      <c r="S21" s="3">
        <v>150.30000000000001</v>
      </c>
      <c r="T21" s="3">
        <v>95.5</v>
      </c>
      <c r="U21" s="3">
        <v>95.5</v>
      </c>
      <c r="V21" s="3">
        <v>96.4</v>
      </c>
      <c r="W21" s="2">
        <v>115.6</v>
      </c>
      <c r="X21" s="2">
        <v>140.9</v>
      </c>
      <c r="Y21">
        <f t="shared" si="10"/>
        <v>0.92898832684824906</v>
      </c>
      <c r="Z21">
        <f t="shared" si="11"/>
        <v>0.92898832684824906</v>
      </c>
      <c r="AA21">
        <f t="shared" si="12"/>
        <v>0.88521579430670339</v>
      </c>
      <c r="AB21">
        <f t="shared" si="13"/>
        <v>1.0185022026431718</v>
      </c>
      <c r="AC21">
        <f t="shared" si="14"/>
        <v>0.969050894085282</v>
      </c>
    </row>
    <row r="22" spans="1:29" x14ac:dyDescent="0.3">
      <c r="A22" s="5">
        <v>42583</v>
      </c>
      <c r="B22">
        <v>1.0063897763578269</v>
      </c>
      <c r="C22">
        <v>0.93029871977240408</v>
      </c>
      <c r="D22">
        <v>1.0127659574468091</v>
      </c>
      <c r="E22">
        <v>1</v>
      </c>
      <c r="F22" s="16">
        <f t="shared" si="3"/>
        <v>1.0290764421624319</v>
      </c>
      <c r="G22" s="16">
        <f t="shared" si="4"/>
        <v>1.0547824999270348</v>
      </c>
      <c r="H22" s="16">
        <f t="shared" si="5"/>
        <v>1.0758576507058453</v>
      </c>
      <c r="I22" s="16">
        <f t="shared" si="6"/>
        <v>0.99639284049742727</v>
      </c>
      <c r="J22" s="16">
        <f t="shared" si="7"/>
        <v>0.97134960765441725</v>
      </c>
      <c r="K22" s="16">
        <f t="shared" si="8"/>
        <v>1.0332449858236414</v>
      </c>
      <c r="L22" s="16">
        <f t="shared" si="9"/>
        <v>1.0393757479374559</v>
      </c>
      <c r="M22">
        <v>0.9241071428571429</v>
      </c>
      <c r="N22">
        <v>0.87679856115107913</v>
      </c>
      <c r="P22">
        <v>0.96046353101567838</v>
      </c>
      <c r="Q22">
        <v>1.191705473442668</v>
      </c>
      <c r="R22">
        <v>1.181443330924713</v>
      </c>
      <c r="S22" s="3">
        <v>150.30000000000001</v>
      </c>
      <c r="T22" s="3">
        <v>95.5</v>
      </c>
      <c r="U22" s="3">
        <v>95.5</v>
      </c>
      <c r="V22" s="3">
        <v>93.6</v>
      </c>
      <c r="W22" s="2">
        <v>115.6</v>
      </c>
      <c r="X22" s="2">
        <v>140.9</v>
      </c>
      <c r="Y22">
        <f t="shared" si="10"/>
        <v>0.92898832684824906</v>
      </c>
      <c r="Z22">
        <f t="shared" si="11"/>
        <v>0.92898832684824906</v>
      </c>
      <c r="AA22">
        <f t="shared" si="12"/>
        <v>0.85950413223140487</v>
      </c>
      <c r="AB22">
        <f t="shared" si="13"/>
        <v>1.0185022026431718</v>
      </c>
      <c r="AC22">
        <f t="shared" si="14"/>
        <v>0.969050894085282</v>
      </c>
    </row>
    <row r="23" spans="1:29" x14ac:dyDescent="0.3">
      <c r="A23" s="5">
        <v>42614</v>
      </c>
      <c r="B23">
        <v>1.0063897763578269</v>
      </c>
      <c r="C23">
        <v>0.93598862019914653</v>
      </c>
      <c r="D23">
        <v>1.013829787234042</v>
      </c>
      <c r="E23">
        <v>1</v>
      </c>
      <c r="F23" s="16">
        <f t="shared" si="3"/>
        <v>1.035698918312423</v>
      </c>
      <c r="G23" s="16">
        <f t="shared" si="4"/>
        <v>1.0623694287622514</v>
      </c>
      <c r="H23" s="16">
        <f t="shared" si="5"/>
        <v>1.0831015529833732</v>
      </c>
      <c r="I23" s="16">
        <f t="shared" si="6"/>
        <v>1.001940005590181</v>
      </c>
      <c r="J23" s="16">
        <f t="shared" si="7"/>
        <v>0.97465118011709528</v>
      </c>
      <c r="K23" s="16">
        <f t="shared" si="8"/>
        <v>1.0425271127210083</v>
      </c>
      <c r="L23" s="16">
        <f t="shared" si="9"/>
        <v>1.0497001684858445</v>
      </c>
      <c r="M23">
        <v>0.9241071428571429</v>
      </c>
      <c r="N23">
        <v>0.85971223021582721</v>
      </c>
      <c r="P23">
        <v>0.95637355146557612</v>
      </c>
      <c r="Q23">
        <v>1.156070729567388</v>
      </c>
      <c r="R23">
        <v>1.186516428646853</v>
      </c>
      <c r="S23" s="3">
        <v>150.4</v>
      </c>
      <c r="T23" s="3">
        <v>96.7</v>
      </c>
      <c r="U23" s="3">
        <v>96.7</v>
      </c>
      <c r="V23" s="3">
        <v>91.6</v>
      </c>
      <c r="W23" s="2">
        <v>115.6</v>
      </c>
      <c r="X23" s="2">
        <v>140.30000000000001</v>
      </c>
      <c r="Y23">
        <f t="shared" si="10"/>
        <v>0.94066147859922189</v>
      </c>
      <c r="Z23">
        <f t="shared" si="11"/>
        <v>0.94066147859922189</v>
      </c>
      <c r="AA23">
        <f t="shared" si="12"/>
        <v>0.84113865932047738</v>
      </c>
      <c r="AB23">
        <f t="shared" si="13"/>
        <v>1.0185022026431718</v>
      </c>
      <c r="AC23">
        <f t="shared" si="14"/>
        <v>0.96492434662998627</v>
      </c>
    </row>
    <row r="24" spans="1:29" x14ac:dyDescent="0.3">
      <c r="A24" s="5">
        <v>42644</v>
      </c>
      <c r="B24">
        <v>1.0063897763578269</v>
      </c>
      <c r="C24">
        <v>0.93741109530583222</v>
      </c>
      <c r="D24">
        <v>1.013829787234042</v>
      </c>
      <c r="E24">
        <v>1</v>
      </c>
      <c r="F24" s="16">
        <f t="shared" si="3"/>
        <v>1.0423213944624141</v>
      </c>
      <c r="G24" s="16">
        <f t="shared" si="4"/>
        <v>1.069956357597468</v>
      </c>
      <c r="H24" s="16">
        <f t="shared" si="5"/>
        <v>1.0903454552609009</v>
      </c>
      <c r="I24" s="16">
        <f t="shared" si="6"/>
        <v>1.0074871706829345</v>
      </c>
      <c r="J24" s="16">
        <f t="shared" si="7"/>
        <v>0.97795275257977343</v>
      </c>
      <c r="K24" s="16">
        <f t="shared" si="8"/>
        <v>1.0518092396183749</v>
      </c>
      <c r="L24" s="16">
        <f t="shared" si="9"/>
        <v>1.0600245890342328</v>
      </c>
      <c r="M24">
        <v>0.92857142857142871</v>
      </c>
      <c r="N24">
        <v>0.83812949640287771</v>
      </c>
      <c r="P24">
        <v>0.95637355146557612</v>
      </c>
      <c r="Q24">
        <v>1.165800544419699</v>
      </c>
      <c r="R24">
        <v>1.227386930629877</v>
      </c>
      <c r="S24" s="3">
        <v>147.4</v>
      </c>
      <c r="T24" s="3">
        <v>97.2</v>
      </c>
      <c r="U24" s="3">
        <v>97.2</v>
      </c>
      <c r="V24" s="3">
        <v>92.6</v>
      </c>
      <c r="W24" s="2">
        <v>115.6</v>
      </c>
      <c r="X24" s="2">
        <v>140.30000000000001</v>
      </c>
      <c r="Y24">
        <f t="shared" si="10"/>
        <v>0.94552529182879386</v>
      </c>
      <c r="Z24">
        <f t="shared" si="11"/>
        <v>0.94552529182879386</v>
      </c>
      <c r="AA24">
        <f t="shared" si="12"/>
        <v>0.85032139577594112</v>
      </c>
      <c r="AB24">
        <f t="shared" si="13"/>
        <v>1.0185022026431718</v>
      </c>
      <c r="AC24">
        <f t="shared" si="14"/>
        <v>0.96492434662998627</v>
      </c>
    </row>
    <row r="25" spans="1:29" x14ac:dyDescent="0.3">
      <c r="A25" s="5">
        <v>42675</v>
      </c>
      <c r="B25">
        <v>1.007454739084132</v>
      </c>
      <c r="C25">
        <v>0.9502133712660028</v>
      </c>
      <c r="D25">
        <v>1.013829787234042</v>
      </c>
      <c r="E25">
        <v>1.001078748651564</v>
      </c>
      <c r="F25" s="16">
        <f t="shared" si="3"/>
        <v>1.0489438706124052</v>
      </c>
      <c r="G25" s="16">
        <f t="shared" si="4"/>
        <v>1.0775432864326848</v>
      </c>
      <c r="H25" s="16">
        <f t="shared" si="5"/>
        <v>1.0975893575384286</v>
      </c>
      <c r="I25" s="16">
        <f t="shared" si="6"/>
        <v>1.0130343357756881</v>
      </c>
      <c r="J25" s="16">
        <f t="shared" si="7"/>
        <v>0.98125432504245158</v>
      </c>
      <c r="K25" s="16">
        <f t="shared" si="8"/>
        <v>1.0610913665157415</v>
      </c>
      <c r="L25" s="16">
        <f t="shared" si="9"/>
        <v>1.0703490095826214</v>
      </c>
      <c r="M25">
        <v>0.93526785714285721</v>
      </c>
      <c r="N25">
        <v>0.85116906474820142</v>
      </c>
      <c r="P25">
        <v>0.95637355146557612</v>
      </c>
      <c r="Q25">
        <v>1.1718296551258689</v>
      </c>
      <c r="R25">
        <v>1.229830831120706</v>
      </c>
      <c r="S25" s="3">
        <v>147.4</v>
      </c>
      <c r="T25" s="3">
        <v>98.5</v>
      </c>
      <c r="U25" s="3">
        <v>98.5</v>
      </c>
      <c r="V25" s="3">
        <v>92.2</v>
      </c>
      <c r="W25" s="2">
        <v>115.6</v>
      </c>
      <c r="X25" s="2">
        <v>140.30000000000001</v>
      </c>
      <c r="Y25">
        <f t="shared" si="10"/>
        <v>0.95817120622568097</v>
      </c>
      <c r="Z25">
        <f t="shared" si="11"/>
        <v>0.95817120622568097</v>
      </c>
      <c r="AA25">
        <f t="shared" si="12"/>
        <v>0.84664830119375567</v>
      </c>
      <c r="AB25">
        <f t="shared" si="13"/>
        <v>1.0185022026431718</v>
      </c>
      <c r="AC25">
        <f t="shared" si="14"/>
        <v>0.96492434662998627</v>
      </c>
    </row>
    <row r="26" spans="1:29" x14ac:dyDescent="0.3">
      <c r="A26" s="5">
        <v>42705</v>
      </c>
      <c r="B26">
        <v>1.008519701810437</v>
      </c>
      <c r="C26">
        <v>0.97012802275960175</v>
      </c>
      <c r="D26">
        <v>1.009574468085106</v>
      </c>
      <c r="E26">
        <v>1.002157497303128</v>
      </c>
      <c r="F26" s="16">
        <f t="shared" si="3"/>
        <v>1.0555663467623961</v>
      </c>
      <c r="G26" s="16">
        <f t="shared" si="4"/>
        <v>1.0851302152679017</v>
      </c>
      <c r="H26" s="16">
        <f t="shared" si="5"/>
        <v>1.1048332598159565</v>
      </c>
      <c r="I26" s="16">
        <f t="shared" si="6"/>
        <v>1.0185815008684418</v>
      </c>
      <c r="J26" s="16">
        <f t="shared" si="7"/>
        <v>0.98455589750512962</v>
      </c>
      <c r="K26" s="16">
        <f t="shared" si="8"/>
        <v>1.0703734934131084</v>
      </c>
      <c r="L26" s="16">
        <f t="shared" si="9"/>
        <v>1.0806734301310097</v>
      </c>
      <c r="M26">
        <v>0.9441964285714286</v>
      </c>
      <c r="N26">
        <v>0.88309352517985606</v>
      </c>
      <c r="P26">
        <v>0.95978186775732799</v>
      </c>
      <c r="Q26">
        <v>1.1804380103934671</v>
      </c>
      <c r="R26">
        <v>1.247332850868103</v>
      </c>
      <c r="S26" s="3">
        <v>147.4</v>
      </c>
      <c r="T26" s="3">
        <v>98.2</v>
      </c>
      <c r="U26" s="3">
        <v>98.2</v>
      </c>
      <c r="V26" s="3">
        <v>93.9</v>
      </c>
      <c r="W26" s="2">
        <v>115.6</v>
      </c>
      <c r="X26" s="2">
        <v>140.80000000000001</v>
      </c>
      <c r="Y26">
        <f t="shared" si="10"/>
        <v>0.95525291828793779</v>
      </c>
      <c r="Z26">
        <f t="shared" si="11"/>
        <v>0.95525291828793779</v>
      </c>
      <c r="AA26">
        <f t="shared" si="12"/>
        <v>0.86225895316804413</v>
      </c>
      <c r="AB26">
        <f t="shared" si="13"/>
        <v>1.0185022026431718</v>
      </c>
      <c r="AC26">
        <f t="shared" si="14"/>
        <v>0.96836313617606606</v>
      </c>
    </row>
    <row r="27" spans="1:29" x14ac:dyDescent="0.3">
      <c r="A27" s="5">
        <v>42736</v>
      </c>
      <c r="B27">
        <v>1.009584664536741</v>
      </c>
      <c r="C27">
        <v>1.0142247510668561</v>
      </c>
      <c r="D27">
        <v>1.009574468085106</v>
      </c>
      <c r="E27">
        <v>1.002157497303128</v>
      </c>
      <c r="F27" s="16">
        <f t="shared" si="3"/>
        <v>1.0621888229123873</v>
      </c>
      <c r="G27" s="16">
        <f t="shared" si="4"/>
        <v>1.0927171441031183</v>
      </c>
      <c r="H27" s="16">
        <f t="shared" si="5"/>
        <v>1.1120771620934842</v>
      </c>
      <c r="I27" s="16">
        <f t="shared" si="6"/>
        <v>1.0241286659611955</v>
      </c>
      <c r="J27" s="16">
        <f t="shared" si="7"/>
        <v>0.98785746996780777</v>
      </c>
      <c r="K27" s="16">
        <f t="shared" si="8"/>
        <v>1.079655620310475</v>
      </c>
      <c r="L27" s="16">
        <f t="shared" si="9"/>
        <v>1.0909978506793983</v>
      </c>
      <c r="M27">
        <v>0.95647321428571441</v>
      </c>
      <c r="N27">
        <v>0.92086330935251803</v>
      </c>
      <c r="P27">
        <v>0.95978186775732799</v>
      </c>
      <c r="Q27">
        <v>1.2224343337929089</v>
      </c>
      <c r="R27">
        <v>1.3501380866813939</v>
      </c>
      <c r="S27" s="3">
        <v>147.69999999999999</v>
      </c>
      <c r="T27" s="3">
        <v>97.6</v>
      </c>
      <c r="U27" s="3">
        <v>97.6</v>
      </c>
      <c r="V27" s="3">
        <v>93</v>
      </c>
      <c r="W27" s="2">
        <v>115.6</v>
      </c>
      <c r="X27" s="2">
        <v>140.80000000000001</v>
      </c>
      <c r="Y27">
        <f t="shared" si="10"/>
        <v>0.94941634241245132</v>
      </c>
      <c r="Z27">
        <f t="shared" si="11"/>
        <v>0.94941634241245132</v>
      </c>
      <c r="AA27">
        <f t="shared" si="12"/>
        <v>0.85399449035812669</v>
      </c>
      <c r="AB27">
        <f t="shared" si="13"/>
        <v>1.0185022026431718</v>
      </c>
      <c r="AC27">
        <f t="shared" si="14"/>
        <v>0.96836313617606606</v>
      </c>
    </row>
    <row r="28" spans="1:29" x14ac:dyDescent="0.3">
      <c r="A28" s="5">
        <v>42767</v>
      </c>
      <c r="B28">
        <v>1.0106496272630461</v>
      </c>
      <c r="C28">
        <v>1.0426742532005691</v>
      </c>
      <c r="D28">
        <v>1.0117021276595739</v>
      </c>
      <c r="E28">
        <v>1.0043149946062571</v>
      </c>
      <c r="F28" s="16">
        <f t="shared" si="3"/>
        <v>1.0688112990623784</v>
      </c>
      <c r="G28" s="16">
        <f t="shared" si="4"/>
        <v>1.1003040729383349</v>
      </c>
      <c r="H28" s="16">
        <f t="shared" si="5"/>
        <v>1.1193210643710119</v>
      </c>
      <c r="I28" s="16">
        <f t="shared" si="6"/>
        <v>1.0296758310539491</v>
      </c>
      <c r="J28" s="16">
        <f t="shared" si="7"/>
        <v>0.99115904243048591</v>
      </c>
      <c r="K28" s="16">
        <f t="shared" si="8"/>
        <v>1.0889377472078416</v>
      </c>
      <c r="L28" s="16">
        <f t="shared" si="9"/>
        <v>1.1013222712277868</v>
      </c>
      <c r="M28">
        <v>0.96428571428571441</v>
      </c>
      <c r="N28">
        <v>0.93210431654676262</v>
      </c>
      <c r="P28">
        <v>0.95978186775732799</v>
      </c>
      <c r="Q28">
        <v>1.2643652561247221</v>
      </c>
      <c r="R28">
        <v>1.4119977047763921</v>
      </c>
      <c r="S28" s="3">
        <v>147.80000000000001</v>
      </c>
      <c r="T28" s="3">
        <v>97.9</v>
      </c>
      <c r="U28" s="3">
        <v>97.9</v>
      </c>
      <c r="V28" s="3">
        <v>96</v>
      </c>
      <c r="W28" s="2">
        <v>115.6</v>
      </c>
      <c r="X28" s="2">
        <v>140.80000000000001</v>
      </c>
      <c r="Y28">
        <f t="shared" si="10"/>
        <v>0.95233463035019461</v>
      </c>
      <c r="Z28">
        <f t="shared" si="11"/>
        <v>0.95233463035019461</v>
      </c>
      <c r="AA28">
        <f t="shared" si="12"/>
        <v>0.88154269972451782</v>
      </c>
      <c r="AB28">
        <f t="shared" si="13"/>
        <v>1.0185022026431718</v>
      </c>
      <c r="AC28">
        <f t="shared" si="14"/>
        <v>0.96836313617606606</v>
      </c>
    </row>
    <row r="29" spans="1:29" x14ac:dyDescent="0.3">
      <c r="A29" s="5">
        <v>42795</v>
      </c>
      <c r="B29">
        <v>1.0106496272630461</v>
      </c>
      <c r="C29">
        <v>1.05547652916074</v>
      </c>
      <c r="D29">
        <v>1.0117021276595739</v>
      </c>
      <c r="E29">
        <v>1.007551240560949</v>
      </c>
      <c r="F29" s="16">
        <f t="shared" si="3"/>
        <v>1.0754337752123693</v>
      </c>
      <c r="G29" s="16">
        <f t="shared" si="4"/>
        <v>1.1078910017735517</v>
      </c>
      <c r="H29" s="16">
        <f t="shared" si="5"/>
        <v>1.1265649666485396</v>
      </c>
      <c r="I29" s="16">
        <f t="shared" si="6"/>
        <v>1.0352229961467028</v>
      </c>
      <c r="J29" s="16">
        <f t="shared" si="7"/>
        <v>0.99446061489316395</v>
      </c>
      <c r="K29" s="16">
        <f t="shared" si="8"/>
        <v>1.0982198741052085</v>
      </c>
      <c r="L29" s="16">
        <f t="shared" si="9"/>
        <v>1.1116466917761751</v>
      </c>
      <c r="M29">
        <v>0.98102678571428581</v>
      </c>
      <c r="N29">
        <v>0.95908273381294962</v>
      </c>
      <c r="P29">
        <v>0.95978186775732799</v>
      </c>
      <c r="Q29">
        <v>1.2885316807075311</v>
      </c>
      <c r="R29">
        <v>1.5044304793193</v>
      </c>
      <c r="S29" s="3">
        <v>147.80000000000001</v>
      </c>
      <c r="T29" s="3">
        <v>100.8</v>
      </c>
      <c r="U29" s="3">
        <v>100.8</v>
      </c>
      <c r="V29" s="3">
        <v>93.7</v>
      </c>
      <c r="W29" s="2">
        <v>115.6</v>
      </c>
      <c r="X29" s="2">
        <v>140.80000000000001</v>
      </c>
      <c r="Y29">
        <f t="shared" si="10"/>
        <v>0.98054474708171202</v>
      </c>
      <c r="Z29">
        <f t="shared" si="11"/>
        <v>0.98054474708171202</v>
      </c>
      <c r="AA29">
        <f t="shared" si="12"/>
        <v>0.86042240587695129</v>
      </c>
      <c r="AB29">
        <f t="shared" si="13"/>
        <v>1.0185022026431718</v>
      </c>
      <c r="AC29">
        <f t="shared" si="14"/>
        <v>0.96836313617606606</v>
      </c>
    </row>
    <row r="30" spans="1:29" x14ac:dyDescent="0.3">
      <c r="A30" s="5">
        <v>42826</v>
      </c>
      <c r="B30">
        <v>1.01171458998935</v>
      </c>
      <c r="C30">
        <v>1.06827880512091</v>
      </c>
      <c r="D30">
        <v>1.0117021276595739</v>
      </c>
      <c r="E30">
        <v>1.0097087378640781</v>
      </c>
      <c r="F30" s="16">
        <f t="shared" si="3"/>
        <v>1.0820562513623604</v>
      </c>
      <c r="G30" s="16">
        <f t="shared" si="4"/>
        <v>1.1154779306087685</v>
      </c>
      <c r="H30" s="16">
        <f t="shared" si="5"/>
        <v>1.1338088689260675</v>
      </c>
      <c r="I30" s="16">
        <f t="shared" si="6"/>
        <v>1.0407701612394564</v>
      </c>
      <c r="J30" s="16">
        <f t="shared" si="7"/>
        <v>0.9977621873558421</v>
      </c>
      <c r="K30" s="16">
        <f t="shared" si="8"/>
        <v>1.1075020010025751</v>
      </c>
      <c r="L30" s="16">
        <f t="shared" si="9"/>
        <v>1.1219711123245637</v>
      </c>
      <c r="M30">
        <v>0.99330357142857151</v>
      </c>
      <c r="N30">
        <v>0.9532374100719424</v>
      </c>
      <c r="P30">
        <v>0.97682344921608744</v>
      </c>
      <c r="Q30">
        <v>1.292295636393632</v>
      </c>
      <c r="R30">
        <v>1.4486963737692879</v>
      </c>
      <c r="S30" s="3">
        <v>151.80000000000001</v>
      </c>
      <c r="T30" s="3">
        <v>101.8</v>
      </c>
      <c r="U30" s="3">
        <v>101.8</v>
      </c>
      <c r="V30" s="3">
        <v>97.3</v>
      </c>
      <c r="W30" s="2">
        <v>115.6</v>
      </c>
      <c r="X30" s="2">
        <v>143.30000000000001</v>
      </c>
      <c r="Y30">
        <f t="shared" si="10"/>
        <v>0.99027237354085607</v>
      </c>
      <c r="Z30">
        <f t="shared" si="11"/>
        <v>0.99027237354085607</v>
      </c>
      <c r="AA30">
        <f t="shared" si="12"/>
        <v>0.89348025711662071</v>
      </c>
      <c r="AB30">
        <f t="shared" si="13"/>
        <v>1.0185022026431718</v>
      </c>
      <c r="AC30">
        <f t="shared" si="14"/>
        <v>0.98555708390646501</v>
      </c>
    </row>
    <row r="31" spans="1:29" x14ac:dyDescent="0.3">
      <c r="A31" s="5">
        <v>42856</v>
      </c>
      <c r="B31">
        <v>1.0127795527156549</v>
      </c>
      <c r="C31">
        <v>1.06827880512091</v>
      </c>
      <c r="D31">
        <v>1.0117021276595739</v>
      </c>
      <c r="E31">
        <v>1.008629989212513</v>
      </c>
      <c r="F31" s="16">
        <f t="shared" si="3"/>
        <v>1.0886787275123515</v>
      </c>
      <c r="G31" s="16">
        <f t="shared" si="4"/>
        <v>1.1230648594439852</v>
      </c>
      <c r="H31" s="16">
        <f t="shared" si="5"/>
        <v>1.1410527712035952</v>
      </c>
      <c r="I31" s="16">
        <f t="shared" si="6"/>
        <v>1.0463173263322101</v>
      </c>
      <c r="J31" s="16">
        <f t="shared" si="7"/>
        <v>1.0010637598185201</v>
      </c>
      <c r="K31" s="16">
        <f t="shared" si="8"/>
        <v>1.1167841278999417</v>
      </c>
      <c r="L31" s="16">
        <f t="shared" si="9"/>
        <v>1.132295532872952</v>
      </c>
      <c r="M31">
        <v>0.99553571428571441</v>
      </c>
      <c r="N31">
        <v>0.96088129496402874</v>
      </c>
      <c r="P31">
        <v>0.97682344921608744</v>
      </c>
      <c r="Q31">
        <v>1.3160815922508571</v>
      </c>
      <c r="R31">
        <v>1.482338006322808</v>
      </c>
      <c r="S31" s="3">
        <v>151.9</v>
      </c>
      <c r="T31" s="3">
        <v>102.2</v>
      </c>
      <c r="U31" s="3">
        <v>102.2</v>
      </c>
      <c r="V31" s="3">
        <v>96.6</v>
      </c>
      <c r="W31" s="2">
        <v>115.6</v>
      </c>
      <c r="X31" s="2">
        <v>143.30000000000001</v>
      </c>
      <c r="Y31">
        <f t="shared" si="10"/>
        <v>0.99416342412451364</v>
      </c>
      <c r="Z31">
        <f t="shared" si="11"/>
        <v>0.99416342412451364</v>
      </c>
      <c r="AA31">
        <f t="shared" si="12"/>
        <v>0.887052341597796</v>
      </c>
      <c r="AB31">
        <f t="shared" si="13"/>
        <v>1.0185022026431718</v>
      </c>
      <c r="AC31">
        <f t="shared" si="14"/>
        <v>0.98555708390646501</v>
      </c>
    </row>
    <row r="32" spans="1:29" x14ac:dyDescent="0.3">
      <c r="A32" s="5">
        <v>42887</v>
      </c>
      <c r="B32">
        <v>1.0127795527156549</v>
      </c>
      <c r="C32">
        <v>1.0625889046941679</v>
      </c>
      <c r="D32">
        <v>1.013829787234042</v>
      </c>
      <c r="E32">
        <v>1.007551240560949</v>
      </c>
      <c r="F32" s="16">
        <f t="shared" si="3"/>
        <v>1.0953012036623426</v>
      </c>
      <c r="G32" s="16">
        <f t="shared" si="4"/>
        <v>1.1306517882792018</v>
      </c>
      <c r="H32" s="16">
        <f t="shared" si="5"/>
        <v>1.1482966734811229</v>
      </c>
      <c r="I32" s="16">
        <f t="shared" si="6"/>
        <v>1.0518644914249637</v>
      </c>
      <c r="J32" s="16">
        <f t="shared" si="7"/>
        <v>1.0043653322811983</v>
      </c>
      <c r="K32" s="16">
        <f t="shared" si="8"/>
        <v>1.1260662547973086</v>
      </c>
      <c r="L32" s="16">
        <f t="shared" si="9"/>
        <v>1.1426199534213406</v>
      </c>
      <c r="M32">
        <v>0.9877232142857143</v>
      </c>
      <c r="N32">
        <v>0.96178057553956831</v>
      </c>
      <c r="P32">
        <v>0.97682344921608744</v>
      </c>
      <c r="Q32">
        <v>1.258554363231424</v>
      </c>
      <c r="R32">
        <v>1.4516899958228751</v>
      </c>
      <c r="S32" s="3">
        <v>151.69999999999999</v>
      </c>
      <c r="T32" s="3">
        <v>101.7</v>
      </c>
      <c r="U32" s="3">
        <v>101.7</v>
      </c>
      <c r="V32" s="3">
        <v>96.3</v>
      </c>
      <c r="W32" s="2">
        <v>121.9</v>
      </c>
      <c r="X32" s="2">
        <v>143.30000000000001</v>
      </c>
      <c r="Y32">
        <f t="shared" si="10"/>
        <v>0.98929961089494167</v>
      </c>
      <c r="Z32">
        <f t="shared" si="11"/>
        <v>0.98929961089494167</v>
      </c>
      <c r="AA32">
        <f t="shared" si="12"/>
        <v>0.88429752066115697</v>
      </c>
      <c r="AB32">
        <f t="shared" si="13"/>
        <v>1.0740088105726873</v>
      </c>
      <c r="AC32">
        <f t="shared" si="14"/>
        <v>0.98555708390646501</v>
      </c>
    </row>
    <row r="33" spans="1:29" x14ac:dyDescent="0.3">
      <c r="A33" s="5">
        <v>42917</v>
      </c>
      <c r="B33">
        <v>1.0127795527156549</v>
      </c>
      <c r="C33">
        <v>1.0597439544807969</v>
      </c>
      <c r="D33">
        <v>1.0159574468085111</v>
      </c>
      <c r="E33">
        <v>1.007551240560949</v>
      </c>
      <c r="F33" s="16">
        <f t="shared" si="3"/>
        <v>1.1019236798123337</v>
      </c>
      <c r="G33" s="16">
        <f t="shared" si="4"/>
        <v>1.1382387171144186</v>
      </c>
      <c r="H33" s="16">
        <f t="shared" si="5"/>
        <v>1.1555405757586508</v>
      </c>
      <c r="I33" s="16">
        <f t="shared" si="6"/>
        <v>1.0574116565177172</v>
      </c>
      <c r="J33" s="16">
        <f t="shared" si="7"/>
        <v>1.0076669047438764</v>
      </c>
      <c r="K33" s="16">
        <f t="shared" si="8"/>
        <v>1.1353483816946752</v>
      </c>
      <c r="L33" s="16">
        <f t="shared" si="9"/>
        <v>1.1529443739697292</v>
      </c>
      <c r="M33">
        <v>0.98549107142857151</v>
      </c>
      <c r="N33">
        <v>0.97077338129496404</v>
      </c>
      <c r="P33">
        <v>0.97682344921608744</v>
      </c>
      <c r="Q33">
        <v>1.248524056987308</v>
      </c>
      <c r="R33">
        <v>1.4543095400728081</v>
      </c>
      <c r="S33" s="3">
        <v>151.80000000000001</v>
      </c>
      <c r="T33" s="3">
        <v>100.6</v>
      </c>
      <c r="U33" s="3">
        <v>100.6</v>
      </c>
      <c r="V33" s="3">
        <v>95.6</v>
      </c>
      <c r="W33" s="2">
        <v>121.9</v>
      </c>
      <c r="X33" s="2">
        <v>143.30000000000001</v>
      </c>
      <c r="Y33">
        <f t="shared" si="10"/>
        <v>0.97859922178988323</v>
      </c>
      <c r="Z33">
        <f t="shared" si="11"/>
        <v>0.97859922178988323</v>
      </c>
      <c r="AA33">
        <f t="shared" si="12"/>
        <v>0.87786960514233237</v>
      </c>
      <c r="AB33">
        <f t="shared" si="13"/>
        <v>1.0740088105726873</v>
      </c>
      <c r="AC33">
        <f t="shared" si="14"/>
        <v>0.98555708390646501</v>
      </c>
    </row>
    <row r="34" spans="1:29" x14ac:dyDescent="0.3">
      <c r="A34" s="5">
        <v>42948</v>
      </c>
      <c r="B34">
        <v>1.01384451544196</v>
      </c>
      <c r="C34">
        <v>1.0597439544807969</v>
      </c>
      <c r="D34">
        <v>1.0170212765957449</v>
      </c>
      <c r="E34">
        <v>1.006472491909385</v>
      </c>
      <c r="F34" s="16">
        <f t="shared" si="3"/>
        <v>1.1085461559623246</v>
      </c>
      <c r="G34" s="16">
        <f t="shared" si="4"/>
        <v>1.1458256459496354</v>
      </c>
      <c r="H34" s="16">
        <f t="shared" si="5"/>
        <v>1.1627844780361785</v>
      </c>
      <c r="I34" s="16">
        <f t="shared" si="6"/>
        <v>1.0629588216104708</v>
      </c>
      <c r="J34" s="16">
        <f t="shared" si="7"/>
        <v>1.0109684772065546</v>
      </c>
      <c r="K34" s="16">
        <f t="shared" si="8"/>
        <v>1.1446305085920419</v>
      </c>
      <c r="L34" s="16">
        <f t="shared" si="9"/>
        <v>1.1632687945181175</v>
      </c>
      <c r="M34">
        <v>0.9877232142857143</v>
      </c>
      <c r="N34">
        <v>0.96267985611510787</v>
      </c>
      <c r="P34">
        <v>0.9788684389911384</v>
      </c>
      <c r="Q34">
        <v>1.178038739285955</v>
      </c>
      <c r="R34">
        <v>1.5207364373676271</v>
      </c>
      <c r="S34" s="3">
        <v>146.5</v>
      </c>
      <c r="T34" s="3">
        <v>100.6</v>
      </c>
      <c r="U34" s="3">
        <v>100.6</v>
      </c>
      <c r="V34" s="3">
        <v>95.3</v>
      </c>
      <c r="W34" s="2">
        <v>121.9</v>
      </c>
      <c r="X34" s="2">
        <v>143.6</v>
      </c>
      <c r="Y34">
        <f t="shared" si="10"/>
        <v>0.97859922178988323</v>
      </c>
      <c r="Z34">
        <f t="shared" si="11"/>
        <v>0.97859922178988323</v>
      </c>
      <c r="AA34">
        <f t="shared" si="12"/>
        <v>0.87511478420569322</v>
      </c>
      <c r="AB34">
        <f t="shared" si="13"/>
        <v>1.0740088105726873</v>
      </c>
      <c r="AC34">
        <f t="shared" si="14"/>
        <v>0.98762035763411271</v>
      </c>
    </row>
    <row r="35" spans="1:29" x14ac:dyDescent="0.3">
      <c r="A35" s="5">
        <v>42979</v>
      </c>
      <c r="B35">
        <v>1.0127795527156549</v>
      </c>
      <c r="C35">
        <v>1.0711237553342821</v>
      </c>
      <c r="D35">
        <v>1.0170212765957449</v>
      </c>
      <c r="E35">
        <v>1.007551240560949</v>
      </c>
      <c r="F35" s="16">
        <f t="shared" si="3"/>
        <v>1.1151686321123158</v>
      </c>
      <c r="G35" s="16">
        <f t="shared" si="4"/>
        <v>1.153412574784852</v>
      </c>
      <c r="H35" s="16">
        <f t="shared" si="5"/>
        <v>1.1700283803137062</v>
      </c>
      <c r="I35" s="16">
        <f t="shared" si="6"/>
        <v>1.0685059867032245</v>
      </c>
      <c r="J35" s="16">
        <f t="shared" si="7"/>
        <v>1.0142700496692327</v>
      </c>
      <c r="K35" s="16">
        <f t="shared" si="8"/>
        <v>1.1539126354894087</v>
      </c>
      <c r="L35" s="16">
        <f t="shared" si="9"/>
        <v>1.173593215066506</v>
      </c>
      <c r="M35">
        <v>0.9944196428571429</v>
      </c>
      <c r="N35">
        <v>0.96987410071942437</v>
      </c>
      <c r="P35">
        <v>0.9788684389911384</v>
      </c>
      <c r="Q35">
        <v>1.196804185668328</v>
      </c>
      <c r="R35">
        <v>1.478466508735504</v>
      </c>
      <c r="S35" s="3">
        <v>146.5</v>
      </c>
      <c r="T35" s="3">
        <v>101.3</v>
      </c>
      <c r="U35" s="3">
        <v>101.3</v>
      </c>
      <c r="V35" s="3">
        <v>100.2</v>
      </c>
      <c r="W35" s="2">
        <v>121.9</v>
      </c>
      <c r="X35" s="2">
        <v>143.6</v>
      </c>
      <c r="Y35">
        <f t="shared" si="10"/>
        <v>0.9854085603112841</v>
      </c>
      <c r="Z35">
        <f t="shared" si="11"/>
        <v>0.9854085603112841</v>
      </c>
      <c r="AA35">
        <f t="shared" si="12"/>
        <v>0.92011019283746553</v>
      </c>
      <c r="AB35">
        <f t="shared" si="13"/>
        <v>1.0740088105726873</v>
      </c>
      <c r="AC35">
        <f t="shared" si="14"/>
        <v>0.98762035763411271</v>
      </c>
    </row>
    <row r="36" spans="1:29" x14ac:dyDescent="0.3">
      <c r="A36" s="5">
        <v>43009</v>
      </c>
      <c r="B36">
        <v>1.01384451544196</v>
      </c>
      <c r="C36">
        <v>1.083926031294453</v>
      </c>
      <c r="D36">
        <v>1.0170212765957449</v>
      </c>
      <c r="E36">
        <v>1.0097087378640781</v>
      </c>
      <c r="F36" s="16">
        <f t="shared" si="3"/>
        <v>1.1217911082623069</v>
      </c>
      <c r="G36" s="16">
        <f t="shared" si="4"/>
        <v>1.1609995036200687</v>
      </c>
      <c r="H36" s="16">
        <f t="shared" si="5"/>
        <v>1.1772722825912338</v>
      </c>
      <c r="I36" s="16">
        <f t="shared" si="6"/>
        <v>1.0740531517959782</v>
      </c>
      <c r="J36" s="16">
        <f t="shared" si="7"/>
        <v>1.0175716221319107</v>
      </c>
      <c r="K36" s="16">
        <f t="shared" si="8"/>
        <v>1.1631947623867753</v>
      </c>
      <c r="L36" s="16">
        <f t="shared" si="9"/>
        <v>1.1839176356148944</v>
      </c>
      <c r="M36">
        <v>0.99776785714285732</v>
      </c>
      <c r="N36">
        <v>0.95098920863309355</v>
      </c>
      <c r="P36">
        <v>0.9788684389911384</v>
      </c>
      <c r="Q36">
        <v>1.167105351960585</v>
      </c>
      <c r="R36">
        <v>1.5135487593539789</v>
      </c>
      <c r="S36" s="3">
        <v>146.5</v>
      </c>
      <c r="T36" s="3">
        <v>103.5</v>
      </c>
      <c r="U36" s="3">
        <v>103.5</v>
      </c>
      <c r="V36" s="3">
        <v>106.4</v>
      </c>
      <c r="W36" s="2">
        <v>121.9</v>
      </c>
      <c r="X36" s="2">
        <v>143.6</v>
      </c>
      <c r="Y36">
        <f t="shared" si="10"/>
        <v>1.0068093385214008</v>
      </c>
      <c r="Z36">
        <f t="shared" si="11"/>
        <v>1.0068093385214008</v>
      </c>
      <c r="AA36">
        <f t="shared" si="12"/>
        <v>0.97704315886134063</v>
      </c>
      <c r="AB36">
        <f t="shared" si="13"/>
        <v>1.0740088105726873</v>
      </c>
      <c r="AC36">
        <f t="shared" si="14"/>
        <v>0.98762035763411271</v>
      </c>
    </row>
    <row r="37" spans="1:29" x14ac:dyDescent="0.3">
      <c r="A37" s="5">
        <v>43040</v>
      </c>
      <c r="B37">
        <v>1.0127795527156549</v>
      </c>
      <c r="C37">
        <v>1.0881934566145091</v>
      </c>
      <c r="D37">
        <v>1.0170212765957449</v>
      </c>
      <c r="E37">
        <v>1.0097087378640781</v>
      </c>
      <c r="F37" s="16">
        <f t="shared" ref="F37:F68" si="15">VLOOKUP(YEAR($A37),_HOUT_INDEX_TAB,COLUMN(A35)+1,FALSE)+(VLOOKUP(YEAR($A37)+1,_HOUT_INDEX_TAB,COLUMN(A35)+1,FALSE)-VLOOKUP(YEAR($A37),_HOUT_INDEX_TAB,COLUMN(A35)+1,FALSE))*((MONTH($A37)-1)/12)</f>
        <v>1.1284135844122978</v>
      </c>
      <c r="G37" s="16">
        <f t="shared" ref="G37:G68" si="16">VLOOKUP(YEAR($A37),_HOUT_INDEX_TAB,COLUMN(B35)+1,FALSE)+(VLOOKUP(YEAR($A37)+1,_HOUT_INDEX_TAB,COLUMN(B35)+1,FALSE)-VLOOKUP(YEAR($A37),_HOUT_INDEX_TAB,COLUMN(B35)+1,FALSE))*((MONTH($A37)-1)/12)</f>
        <v>1.1685864324552855</v>
      </c>
      <c r="H37" s="16">
        <f t="shared" ref="H37:H68" si="17">VLOOKUP(YEAR($A37),_HOUT_INDEX_TAB,COLUMN(C35)+1,FALSE)+(VLOOKUP(YEAR($A37)+1,_HOUT_INDEX_TAB,COLUMN(C35)+1,FALSE)-VLOOKUP(YEAR($A37),_HOUT_INDEX_TAB,COLUMN(C35)+1,FALSE))*((MONTH($A37)-1)/12)</f>
        <v>1.1845161848687615</v>
      </c>
      <c r="I37" s="16">
        <f t="shared" ref="I37:I68" si="18">VLOOKUP(YEAR($A37),_HOUT_INDEX_TAB,COLUMN(D35)+1,FALSE)+(VLOOKUP(YEAR($A37)+1,_HOUT_INDEX_TAB,COLUMN(D35)+1,FALSE)-VLOOKUP(YEAR($A37),_HOUT_INDEX_TAB,COLUMN(D35)+1,FALSE))*((MONTH($A37)-1)/12)</f>
        <v>1.0796003168887318</v>
      </c>
      <c r="J37" s="16">
        <f t="shared" ref="J37:J68" si="19">VLOOKUP(YEAR($A37),_HOUT_INDEX_TAB,COLUMN(E35)+1,FALSE)+(VLOOKUP(YEAR($A37)+1,_HOUT_INDEX_TAB,COLUMN(E35)+1,FALSE)-VLOOKUP(YEAR($A37),_HOUT_INDEX_TAB,COLUMN(E35)+1,FALSE))*((MONTH($A37)-1)/12)</f>
        <v>1.0208731945945888</v>
      </c>
      <c r="K37" s="16">
        <f t="shared" ref="K37:K68" si="20">VLOOKUP(YEAR($A37),_HOUT_INDEX_TAB,COLUMN(F35)+1,FALSE)+(VLOOKUP(YEAR($A37)+1,_HOUT_INDEX_TAB,COLUMN(F35)+1,FALSE)-VLOOKUP(YEAR($A37),_HOUT_INDEX_TAB,COLUMN(F35)+1,FALSE))*((MONTH($A37)-1)/12)</f>
        <v>1.172476889284142</v>
      </c>
      <c r="L37" s="16">
        <f t="shared" ref="L37:L68" si="21">VLOOKUP(YEAR($A37),_HOUT_INDEX_TAB,COLUMN(G35)+1,FALSE)+(VLOOKUP(YEAR($A37)+1,_HOUT_INDEX_TAB,COLUMN(G35)+1,FALSE)-VLOOKUP(YEAR($A37),_HOUT_INDEX_TAB,COLUMN(G35)+1,FALSE))*((MONTH($A37)-1)/12)</f>
        <v>1.1942420561632829</v>
      </c>
      <c r="M37">
        <v>1.005580357142857</v>
      </c>
      <c r="N37">
        <v>0.9388489208633094</v>
      </c>
      <c r="P37">
        <v>1.029993183367417</v>
      </c>
      <c r="Q37">
        <v>1.1939326449348719</v>
      </c>
      <c r="R37">
        <v>1.569646597170457</v>
      </c>
      <c r="S37" s="3">
        <v>148.5</v>
      </c>
      <c r="T37" s="3">
        <v>105.7</v>
      </c>
      <c r="U37" s="3">
        <v>105.7</v>
      </c>
      <c r="V37" s="3">
        <v>109.7</v>
      </c>
      <c r="W37" s="2">
        <v>123.3</v>
      </c>
      <c r="X37" s="2">
        <v>151.1</v>
      </c>
      <c r="Y37">
        <f t="shared" si="10"/>
        <v>1.0282101167315176</v>
      </c>
      <c r="Z37">
        <f t="shared" si="11"/>
        <v>1.0282101167315176</v>
      </c>
      <c r="AA37">
        <f t="shared" si="12"/>
        <v>1.0073461891643709</v>
      </c>
      <c r="AB37">
        <f t="shared" si="13"/>
        <v>1.0863436123348018</v>
      </c>
      <c r="AC37">
        <f t="shared" si="14"/>
        <v>1.0392022008253095</v>
      </c>
    </row>
    <row r="38" spans="1:29" x14ac:dyDescent="0.3">
      <c r="A38" s="5">
        <v>43070</v>
      </c>
      <c r="B38">
        <v>1.01384451544196</v>
      </c>
      <c r="C38">
        <v>1.092460881934566</v>
      </c>
      <c r="D38">
        <v>1.0159574468085111</v>
      </c>
      <c r="E38">
        <v>1.0097087378640781</v>
      </c>
      <c r="F38" s="16">
        <f t="shared" si="15"/>
        <v>1.1350360605622889</v>
      </c>
      <c r="G38" s="16">
        <f t="shared" si="16"/>
        <v>1.1761733612905023</v>
      </c>
      <c r="H38" s="16">
        <f t="shared" si="17"/>
        <v>1.1917600871462894</v>
      </c>
      <c r="I38" s="16">
        <f t="shared" si="18"/>
        <v>1.0851474819814855</v>
      </c>
      <c r="J38" s="16">
        <f t="shared" si="19"/>
        <v>1.024174767057267</v>
      </c>
      <c r="K38" s="16">
        <f t="shared" si="20"/>
        <v>1.1817590161815088</v>
      </c>
      <c r="L38" s="16">
        <f t="shared" si="21"/>
        <v>1.2045664767116713</v>
      </c>
      <c r="M38">
        <v>1.005580357142857</v>
      </c>
      <c r="N38">
        <v>0.95728417266187049</v>
      </c>
      <c r="P38">
        <v>1.029993183367417</v>
      </c>
      <c r="Q38">
        <v>1.268354628218654</v>
      </c>
      <c r="R38">
        <v>1.6121784075537371</v>
      </c>
      <c r="S38" s="3">
        <v>148.5</v>
      </c>
      <c r="T38" s="3">
        <v>106.3</v>
      </c>
      <c r="U38" s="3">
        <v>106.3</v>
      </c>
      <c r="V38" s="3">
        <v>106.7</v>
      </c>
      <c r="W38" s="2">
        <v>123.3</v>
      </c>
      <c r="X38" s="2">
        <v>151.1</v>
      </c>
      <c r="Y38">
        <f t="shared" si="10"/>
        <v>1.034046692607004</v>
      </c>
      <c r="Z38">
        <f t="shared" si="11"/>
        <v>1.034046692607004</v>
      </c>
      <c r="AA38">
        <f t="shared" si="12"/>
        <v>0.97979797979797978</v>
      </c>
      <c r="AB38">
        <f t="shared" si="13"/>
        <v>1.0863436123348018</v>
      </c>
      <c r="AC38">
        <f t="shared" si="14"/>
        <v>1.0392022008253095</v>
      </c>
    </row>
    <row r="39" spans="1:29" x14ac:dyDescent="0.3">
      <c r="A39" s="5">
        <v>43101</v>
      </c>
      <c r="B39">
        <v>1.018104366347178</v>
      </c>
      <c r="C39">
        <v>1.106685633001423</v>
      </c>
      <c r="D39">
        <v>1.0127659574468091</v>
      </c>
      <c r="E39">
        <v>1.0118662351672061</v>
      </c>
      <c r="F39" s="16">
        <f t="shared" si="15"/>
        <v>1.14165853671228</v>
      </c>
      <c r="G39" s="16">
        <f t="shared" si="16"/>
        <v>1.1837602901257189</v>
      </c>
      <c r="H39" s="16">
        <f t="shared" si="17"/>
        <v>1.1990039894238171</v>
      </c>
      <c r="I39" s="16">
        <f t="shared" si="18"/>
        <v>1.0906946470742391</v>
      </c>
      <c r="J39" s="16">
        <f t="shared" si="19"/>
        <v>1.0274763395199451</v>
      </c>
      <c r="K39" s="16">
        <f t="shared" si="20"/>
        <v>1.1910411430788754</v>
      </c>
      <c r="L39" s="16">
        <f t="shared" si="21"/>
        <v>1.2148908972600598</v>
      </c>
      <c r="M39">
        <v>1.0089285714285721</v>
      </c>
      <c r="N39">
        <v>0.97841726618705027</v>
      </c>
      <c r="P39">
        <v>1.029993183367417</v>
      </c>
      <c r="Q39">
        <v>1.3519943308362019</v>
      </c>
      <c r="R39">
        <v>1.751794738211123</v>
      </c>
      <c r="S39" s="3">
        <v>148.5</v>
      </c>
      <c r="T39" s="3">
        <v>107.1</v>
      </c>
      <c r="U39" s="3">
        <v>107.1</v>
      </c>
      <c r="V39" s="3">
        <v>105.6</v>
      </c>
      <c r="W39" s="2">
        <v>125.6</v>
      </c>
      <c r="X39" s="2">
        <v>151.1</v>
      </c>
      <c r="Y39">
        <f t="shared" si="10"/>
        <v>1.0418287937743191</v>
      </c>
      <c r="Z39">
        <f t="shared" si="11"/>
        <v>1.0418287937743191</v>
      </c>
      <c r="AA39">
        <f t="shared" si="12"/>
        <v>0.96969696969696961</v>
      </c>
      <c r="AB39">
        <f t="shared" si="13"/>
        <v>1.1066079295154185</v>
      </c>
      <c r="AC39">
        <f t="shared" si="14"/>
        <v>1.0392022008253095</v>
      </c>
    </row>
    <row r="40" spans="1:29" x14ac:dyDescent="0.3">
      <c r="A40" s="5">
        <v>43132</v>
      </c>
      <c r="B40">
        <v>1.018104366347178</v>
      </c>
      <c r="C40">
        <v>1.119487908961593</v>
      </c>
      <c r="D40">
        <v>1.0127659574468091</v>
      </c>
      <c r="E40">
        <v>1.0129449838187701</v>
      </c>
      <c r="F40" s="16">
        <f t="shared" si="15"/>
        <v>1.1325145436442456</v>
      </c>
      <c r="G40" s="16">
        <f t="shared" si="16"/>
        <v>1.1688951582056761</v>
      </c>
      <c r="H40" s="16">
        <f t="shared" si="17"/>
        <v>1.184411777387367</v>
      </c>
      <c r="I40" s="16">
        <f t="shared" si="18"/>
        <v>1.0896906873192154</v>
      </c>
      <c r="J40" s="16">
        <f t="shared" si="19"/>
        <v>1.0344593845068017</v>
      </c>
      <c r="K40" s="16">
        <f t="shared" si="20"/>
        <v>1.1862363005487182</v>
      </c>
      <c r="L40" s="16">
        <f t="shared" si="21"/>
        <v>1.2171281821144557</v>
      </c>
      <c r="M40">
        <v>1.012276785714286</v>
      </c>
      <c r="N40">
        <v>0.9986510791366906</v>
      </c>
      <c r="P40">
        <v>1.029993183367417</v>
      </c>
      <c r="Q40">
        <v>1.3105790645879729</v>
      </c>
      <c r="R40">
        <v>1.7412849811259079</v>
      </c>
      <c r="S40" s="3">
        <v>152.4</v>
      </c>
      <c r="T40" s="3">
        <v>106.3</v>
      </c>
      <c r="U40" s="3">
        <v>106.3</v>
      </c>
      <c r="V40" s="3">
        <v>103.5</v>
      </c>
      <c r="W40" s="2">
        <v>125.6</v>
      </c>
      <c r="X40" s="2">
        <v>151.1</v>
      </c>
      <c r="Y40">
        <f t="shared" si="10"/>
        <v>1.034046692607004</v>
      </c>
      <c r="Z40">
        <f t="shared" si="11"/>
        <v>1.034046692607004</v>
      </c>
      <c r="AA40">
        <f t="shared" si="12"/>
        <v>0.95041322314049581</v>
      </c>
      <c r="AB40">
        <f t="shared" si="13"/>
        <v>1.1066079295154185</v>
      </c>
      <c r="AC40">
        <f t="shared" si="14"/>
        <v>1.0392022008253095</v>
      </c>
    </row>
    <row r="41" spans="1:29" x14ac:dyDescent="0.3">
      <c r="A41" s="5">
        <v>43160</v>
      </c>
      <c r="B41">
        <v>1.0202342917997871</v>
      </c>
      <c r="C41">
        <v>1.1337126600284499</v>
      </c>
      <c r="D41">
        <v>1.0127659574468091</v>
      </c>
      <c r="E41">
        <v>1.015102481121898</v>
      </c>
      <c r="F41" s="16">
        <f t="shared" si="15"/>
        <v>1.1233705505762113</v>
      </c>
      <c r="G41" s="16">
        <f t="shared" si="16"/>
        <v>1.1540300262856333</v>
      </c>
      <c r="H41" s="16">
        <f t="shared" si="17"/>
        <v>1.1698195653509171</v>
      </c>
      <c r="I41" s="16">
        <f t="shared" si="18"/>
        <v>1.0886867275641916</v>
      </c>
      <c r="J41" s="16">
        <f t="shared" si="19"/>
        <v>1.0414424294936584</v>
      </c>
      <c r="K41" s="16">
        <f t="shared" si="20"/>
        <v>1.181431458018561</v>
      </c>
      <c r="L41" s="16">
        <f t="shared" si="21"/>
        <v>1.2193654669688518</v>
      </c>
      <c r="M41">
        <v>1.013392857142857</v>
      </c>
      <c r="N41">
        <v>1.022931654676259</v>
      </c>
      <c r="P41">
        <v>1.040899795501022</v>
      </c>
      <c r="Q41">
        <v>1.368013575140524</v>
      </c>
      <c r="R41">
        <v>1.6630136214626341</v>
      </c>
      <c r="S41" s="3">
        <v>152.19999999999999</v>
      </c>
      <c r="T41" s="3">
        <v>106.8</v>
      </c>
      <c r="U41" s="3">
        <v>106.8</v>
      </c>
      <c r="V41" s="3">
        <v>104.8</v>
      </c>
      <c r="W41" s="2">
        <v>125.6</v>
      </c>
      <c r="X41" s="2">
        <v>152.69999999999999</v>
      </c>
      <c r="Y41">
        <f t="shared" si="10"/>
        <v>1.038910505836576</v>
      </c>
      <c r="Z41">
        <f t="shared" si="11"/>
        <v>1.038910505836576</v>
      </c>
      <c r="AA41">
        <f t="shared" si="12"/>
        <v>0.96235078053259859</v>
      </c>
      <c r="AB41">
        <f t="shared" si="13"/>
        <v>1.1066079295154185</v>
      </c>
      <c r="AC41">
        <f t="shared" si="14"/>
        <v>1.0502063273727646</v>
      </c>
    </row>
    <row r="42" spans="1:29" x14ac:dyDescent="0.3">
      <c r="A42" s="5">
        <v>43191</v>
      </c>
      <c r="B42">
        <v>1.0202342917997871</v>
      </c>
      <c r="C42">
        <v>1.143669985775249</v>
      </c>
      <c r="D42">
        <v>1.013829787234042</v>
      </c>
      <c r="E42">
        <v>1.0140237324703341</v>
      </c>
      <c r="F42" s="16">
        <f t="shared" si="15"/>
        <v>1.1142265575081769</v>
      </c>
      <c r="G42" s="16">
        <f t="shared" si="16"/>
        <v>1.1391648943655905</v>
      </c>
      <c r="H42" s="16">
        <f t="shared" si="17"/>
        <v>1.155227353314467</v>
      </c>
      <c r="I42" s="16">
        <f t="shared" si="18"/>
        <v>1.0876827678091676</v>
      </c>
      <c r="J42" s="16">
        <f t="shared" si="19"/>
        <v>1.0484254744805153</v>
      </c>
      <c r="K42" s="16">
        <f t="shared" si="20"/>
        <v>1.1766266154884037</v>
      </c>
      <c r="L42" s="16">
        <f t="shared" si="21"/>
        <v>1.221602751823248</v>
      </c>
      <c r="M42">
        <v>1.010044642857143</v>
      </c>
      <c r="N42">
        <v>1.0526079136690649</v>
      </c>
      <c r="P42">
        <v>1.08997955010225</v>
      </c>
      <c r="Q42">
        <v>1.3695248700816629</v>
      </c>
      <c r="R42">
        <v>1.6536824214482391</v>
      </c>
      <c r="S42" s="3">
        <v>152.1</v>
      </c>
      <c r="T42" s="3">
        <v>107.5</v>
      </c>
      <c r="U42" s="3">
        <v>107.5</v>
      </c>
      <c r="V42" s="3">
        <v>105.3</v>
      </c>
      <c r="W42" s="2">
        <v>125.6</v>
      </c>
      <c r="X42" s="2">
        <v>159.9</v>
      </c>
      <c r="Y42">
        <f t="shared" si="10"/>
        <v>1.0457198443579767</v>
      </c>
      <c r="Z42">
        <f t="shared" si="11"/>
        <v>1.0457198443579767</v>
      </c>
      <c r="AA42">
        <f t="shared" si="12"/>
        <v>0.96694214876033047</v>
      </c>
      <c r="AB42">
        <f t="shared" si="13"/>
        <v>1.1066079295154185</v>
      </c>
      <c r="AC42">
        <f t="shared" si="14"/>
        <v>1.0997248968363136</v>
      </c>
    </row>
    <row r="43" spans="1:29" x14ac:dyDescent="0.3">
      <c r="A43" s="5">
        <v>43221</v>
      </c>
      <c r="B43">
        <v>1.0223642172523959</v>
      </c>
      <c r="C43">
        <v>1.1493598862019909</v>
      </c>
      <c r="D43">
        <v>1.014893617021277</v>
      </c>
      <c r="E43">
        <v>1.0172599784250269</v>
      </c>
      <c r="F43" s="16">
        <f t="shared" si="15"/>
        <v>1.1050825644401425</v>
      </c>
      <c r="G43" s="16">
        <f t="shared" si="16"/>
        <v>1.1242997624455477</v>
      </c>
      <c r="H43" s="16">
        <f t="shared" si="17"/>
        <v>1.1406351412780171</v>
      </c>
      <c r="I43" s="16">
        <f t="shared" si="18"/>
        <v>1.0866788080541439</v>
      </c>
      <c r="J43" s="16">
        <f t="shared" si="19"/>
        <v>1.0554085194673719</v>
      </c>
      <c r="K43" s="16">
        <f t="shared" si="20"/>
        <v>1.1718217729582465</v>
      </c>
      <c r="L43" s="16">
        <f t="shared" si="21"/>
        <v>1.2238400366776438</v>
      </c>
      <c r="M43">
        <v>1.025669642857143</v>
      </c>
      <c r="N43">
        <v>1.074640287769784</v>
      </c>
      <c r="P43">
        <v>1.08997955010225</v>
      </c>
      <c r="Q43">
        <v>1.4027998727330591</v>
      </c>
      <c r="R43">
        <v>1.7050929898151941</v>
      </c>
      <c r="S43" s="3">
        <v>152.6</v>
      </c>
      <c r="T43" s="3">
        <v>106.2</v>
      </c>
      <c r="U43" s="3">
        <v>106.2</v>
      </c>
      <c r="V43" s="3">
        <v>106.6</v>
      </c>
      <c r="W43" s="2">
        <v>125.6</v>
      </c>
      <c r="X43" s="2">
        <v>159.9</v>
      </c>
      <c r="Y43">
        <f t="shared" si="10"/>
        <v>1.0330739299610896</v>
      </c>
      <c r="Z43">
        <f t="shared" si="11"/>
        <v>1.0330739299610896</v>
      </c>
      <c r="AA43">
        <f t="shared" si="12"/>
        <v>0.97887970615243336</v>
      </c>
      <c r="AB43">
        <f t="shared" si="13"/>
        <v>1.1066079295154185</v>
      </c>
      <c r="AC43">
        <f t="shared" si="14"/>
        <v>1.0997248968363136</v>
      </c>
    </row>
    <row r="44" spans="1:29" x14ac:dyDescent="0.3">
      <c r="A44" s="5">
        <v>43252</v>
      </c>
      <c r="B44">
        <v>1.023429179978701</v>
      </c>
      <c r="C44">
        <v>1.1507823613086769</v>
      </c>
      <c r="D44">
        <v>1.018085106382979</v>
      </c>
      <c r="E44">
        <v>1.0172599784250269</v>
      </c>
      <c r="F44" s="16">
        <f t="shared" si="15"/>
        <v>1.0959385713721082</v>
      </c>
      <c r="G44" s="16">
        <f t="shared" si="16"/>
        <v>1.109434630525505</v>
      </c>
      <c r="H44" s="16">
        <f t="shared" si="17"/>
        <v>1.126042929241567</v>
      </c>
      <c r="I44" s="16">
        <f t="shared" si="18"/>
        <v>1.0856748482991201</v>
      </c>
      <c r="J44" s="16">
        <f t="shared" si="19"/>
        <v>1.0623915644542286</v>
      </c>
      <c r="K44" s="16">
        <f t="shared" si="20"/>
        <v>1.1670169304280893</v>
      </c>
      <c r="L44" s="16">
        <f t="shared" si="21"/>
        <v>1.2260773215320397</v>
      </c>
      <c r="M44">
        <v>1.035714285714286</v>
      </c>
      <c r="N44">
        <v>1.090377697841727</v>
      </c>
      <c r="P44">
        <v>1.083844580777096</v>
      </c>
      <c r="Q44">
        <v>1.4507370877081349</v>
      </c>
      <c r="R44">
        <v>1.7989734211570509</v>
      </c>
      <c r="S44" s="3">
        <v>152.19999999999999</v>
      </c>
      <c r="T44" s="3">
        <v>106</v>
      </c>
      <c r="U44" s="3">
        <v>106</v>
      </c>
      <c r="V44" s="3">
        <v>105.3</v>
      </c>
      <c r="W44" s="2">
        <v>126.3</v>
      </c>
      <c r="X44" s="2">
        <v>159</v>
      </c>
      <c r="Y44">
        <f t="shared" si="10"/>
        <v>1.0311284046692608</v>
      </c>
      <c r="Z44">
        <f t="shared" si="11"/>
        <v>1.0311284046692608</v>
      </c>
      <c r="AA44">
        <f t="shared" si="12"/>
        <v>0.96694214876033047</v>
      </c>
      <c r="AB44">
        <f t="shared" si="13"/>
        <v>1.1127753303964758</v>
      </c>
      <c r="AC44">
        <f t="shared" si="14"/>
        <v>1.0935350756533699</v>
      </c>
    </row>
    <row r="45" spans="1:29" x14ac:dyDescent="0.3">
      <c r="A45" s="5">
        <v>43282</v>
      </c>
      <c r="B45">
        <v>1.02555910543131</v>
      </c>
      <c r="C45">
        <v>1.1550497866287339</v>
      </c>
      <c r="D45">
        <v>1.021276595744681</v>
      </c>
      <c r="E45">
        <v>1.0183387270765909</v>
      </c>
      <c r="F45" s="16">
        <f t="shared" si="15"/>
        <v>1.0867945783040738</v>
      </c>
      <c r="G45" s="16">
        <f t="shared" si="16"/>
        <v>1.0945694986054622</v>
      </c>
      <c r="H45" s="16">
        <f t="shared" si="17"/>
        <v>1.1114507172051171</v>
      </c>
      <c r="I45" s="16">
        <f t="shared" si="18"/>
        <v>1.0846708885440961</v>
      </c>
      <c r="J45" s="16">
        <f t="shared" si="19"/>
        <v>1.0693746094410852</v>
      </c>
      <c r="K45" s="16">
        <f t="shared" si="20"/>
        <v>1.1622120878979323</v>
      </c>
      <c r="L45" s="16">
        <f t="shared" si="21"/>
        <v>1.2283146063864359</v>
      </c>
      <c r="M45">
        <v>1.036830357142857</v>
      </c>
      <c r="N45">
        <v>1.098471223021583</v>
      </c>
      <c r="P45">
        <v>1.109747784594411</v>
      </c>
      <c r="Q45">
        <v>1.4280556117972609</v>
      </c>
      <c r="R45">
        <v>1.746683055852057</v>
      </c>
      <c r="S45" s="3">
        <v>152.30000000000001</v>
      </c>
      <c r="T45" s="3">
        <v>105.3</v>
      </c>
      <c r="U45" s="3">
        <v>105.3</v>
      </c>
      <c r="V45" s="3">
        <v>105.3</v>
      </c>
      <c r="W45" s="2">
        <v>126.4</v>
      </c>
      <c r="X45" s="2">
        <v>162.80000000000001</v>
      </c>
      <c r="Y45">
        <f t="shared" si="10"/>
        <v>1.0243190661478598</v>
      </c>
      <c r="Z45">
        <f t="shared" si="11"/>
        <v>1.0243190661478598</v>
      </c>
      <c r="AA45">
        <f t="shared" si="12"/>
        <v>0.96694214876033047</v>
      </c>
      <c r="AB45">
        <f t="shared" si="13"/>
        <v>1.1136563876651984</v>
      </c>
      <c r="AC45">
        <f t="shared" si="14"/>
        <v>1.1196698762035764</v>
      </c>
    </row>
    <row r="46" spans="1:29" x14ac:dyDescent="0.3">
      <c r="A46" s="5">
        <v>43313</v>
      </c>
      <c r="B46">
        <v>1.0276890308839191</v>
      </c>
      <c r="C46">
        <v>1.1593172119487909</v>
      </c>
      <c r="D46">
        <v>1.024468085106383</v>
      </c>
      <c r="E46">
        <v>1.0194174757281551</v>
      </c>
      <c r="F46" s="16">
        <f t="shared" si="15"/>
        <v>1.0776505852360394</v>
      </c>
      <c r="G46" s="16">
        <f t="shared" si="16"/>
        <v>1.0797043666854196</v>
      </c>
      <c r="H46" s="16">
        <f t="shared" si="17"/>
        <v>1.096858505168667</v>
      </c>
      <c r="I46" s="16">
        <f t="shared" si="18"/>
        <v>1.0836669287890723</v>
      </c>
      <c r="J46" s="16">
        <f t="shared" si="19"/>
        <v>1.0763576544279418</v>
      </c>
      <c r="K46" s="16">
        <f t="shared" si="20"/>
        <v>1.1574072453677751</v>
      </c>
      <c r="L46" s="16">
        <f t="shared" si="21"/>
        <v>1.230551891240832</v>
      </c>
      <c r="M46">
        <v>1.027901785714286</v>
      </c>
      <c r="N46">
        <v>1.1007194244604319</v>
      </c>
      <c r="P46">
        <v>1.109747784594411</v>
      </c>
      <c r="Q46">
        <v>1.403894175609097</v>
      </c>
      <c r="R46">
        <v>1.7994585376895389</v>
      </c>
      <c r="S46" s="3">
        <v>159.19999999999999</v>
      </c>
      <c r="T46" s="3">
        <v>105.3</v>
      </c>
      <c r="U46" s="3">
        <v>105.3</v>
      </c>
      <c r="V46" s="3">
        <v>107.6</v>
      </c>
      <c r="W46" s="2">
        <v>126.4</v>
      </c>
      <c r="X46" s="2">
        <v>162.80000000000001</v>
      </c>
      <c r="Y46">
        <f t="shared" si="10"/>
        <v>1.0243190661478598</v>
      </c>
      <c r="Z46">
        <f t="shared" si="11"/>
        <v>1.0243190661478598</v>
      </c>
      <c r="AA46">
        <f t="shared" si="12"/>
        <v>0.988062442607897</v>
      </c>
      <c r="AB46">
        <f t="shared" si="13"/>
        <v>1.1136563876651984</v>
      </c>
      <c r="AC46">
        <f t="shared" si="14"/>
        <v>1.1196698762035764</v>
      </c>
    </row>
    <row r="47" spans="1:29" x14ac:dyDescent="0.3">
      <c r="A47" s="5">
        <v>43344</v>
      </c>
      <c r="B47">
        <v>1.0276890308839191</v>
      </c>
      <c r="C47">
        <v>1.160739687055476</v>
      </c>
      <c r="D47">
        <v>1.0265957446808509</v>
      </c>
      <c r="E47">
        <v>1.0194174757281551</v>
      </c>
      <c r="F47" s="16">
        <f t="shared" si="15"/>
        <v>1.068506592168005</v>
      </c>
      <c r="G47" s="16">
        <f t="shared" si="16"/>
        <v>1.0648392347653768</v>
      </c>
      <c r="H47" s="16">
        <f t="shared" si="17"/>
        <v>1.0822662931322169</v>
      </c>
      <c r="I47" s="16">
        <f t="shared" si="18"/>
        <v>1.0826629690340486</v>
      </c>
      <c r="J47" s="16">
        <f t="shared" si="19"/>
        <v>1.0833406994147985</v>
      </c>
      <c r="K47" s="16">
        <f t="shared" si="20"/>
        <v>1.1526024028376178</v>
      </c>
      <c r="L47" s="16">
        <f t="shared" si="21"/>
        <v>1.2327891760952279</v>
      </c>
      <c r="M47">
        <v>1.024553571428571</v>
      </c>
      <c r="N47">
        <v>1.1002697841726621</v>
      </c>
      <c r="P47">
        <v>1.109747784594411</v>
      </c>
      <c r="Q47">
        <v>1.341573867854492</v>
      </c>
      <c r="R47">
        <v>1.806690270985269</v>
      </c>
      <c r="S47" s="3">
        <v>159.19999999999999</v>
      </c>
      <c r="T47" s="3">
        <v>104.1</v>
      </c>
      <c r="U47" s="3">
        <v>104.1</v>
      </c>
      <c r="V47" s="3">
        <v>108.6</v>
      </c>
      <c r="W47" s="2">
        <v>126.4</v>
      </c>
      <c r="X47" s="2">
        <v>162.80000000000001</v>
      </c>
      <c r="Y47">
        <f t="shared" si="10"/>
        <v>1.0126459143968871</v>
      </c>
      <c r="Z47">
        <f t="shared" si="11"/>
        <v>1.0126459143968871</v>
      </c>
      <c r="AA47">
        <f t="shared" si="12"/>
        <v>0.99724517906336074</v>
      </c>
      <c r="AB47">
        <f t="shared" si="13"/>
        <v>1.1136563876651984</v>
      </c>
      <c r="AC47">
        <f t="shared" si="14"/>
        <v>1.1196698762035764</v>
      </c>
    </row>
    <row r="48" spans="1:29" x14ac:dyDescent="0.3">
      <c r="A48" s="5">
        <v>43374</v>
      </c>
      <c r="B48">
        <v>1.0308839190628329</v>
      </c>
      <c r="C48">
        <v>1.1564722617354199</v>
      </c>
      <c r="D48">
        <v>1.0265957446808509</v>
      </c>
      <c r="E48">
        <v>1.02049622437972</v>
      </c>
      <c r="F48" s="16">
        <f t="shared" si="15"/>
        <v>1.0593625990999707</v>
      </c>
      <c r="G48" s="16">
        <f t="shared" si="16"/>
        <v>1.049974102845334</v>
      </c>
      <c r="H48" s="16">
        <f t="shared" si="17"/>
        <v>1.067674081095767</v>
      </c>
      <c r="I48" s="16">
        <f t="shared" si="18"/>
        <v>1.0816590092790248</v>
      </c>
      <c r="J48" s="16">
        <f t="shared" si="19"/>
        <v>1.0903237444016551</v>
      </c>
      <c r="K48" s="16">
        <f t="shared" si="20"/>
        <v>1.1477975603074606</v>
      </c>
      <c r="L48" s="16">
        <f t="shared" si="21"/>
        <v>1.2350264609496238</v>
      </c>
      <c r="M48">
        <v>1.018973214285714</v>
      </c>
      <c r="N48">
        <v>1.0975719424460431</v>
      </c>
      <c r="P48">
        <v>1.109747784594411</v>
      </c>
      <c r="Q48">
        <v>1.2887899034892349</v>
      </c>
      <c r="R48">
        <v>1.7086768782513291</v>
      </c>
      <c r="S48" s="3">
        <v>159.80000000000001</v>
      </c>
      <c r="T48" s="3">
        <v>105.2</v>
      </c>
      <c r="U48" s="3">
        <v>105.2</v>
      </c>
      <c r="V48" s="3">
        <v>109.8</v>
      </c>
      <c r="W48" s="2">
        <v>126.4</v>
      </c>
      <c r="X48" s="2">
        <v>162.80000000000001</v>
      </c>
      <c r="Y48">
        <f t="shared" si="10"/>
        <v>1.0233463035019457</v>
      </c>
      <c r="Z48">
        <f t="shared" si="11"/>
        <v>1.0233463035019457</v>
      </c>
      <c r="AA48">
        <f t="shared" si="12"/>
        <v>1.0082644628099173</v>
      </c>
      <c r="AB48">
        <f t="shared" si="13"/>
        <v>1.1136563876651984</v>
      </c>
      <c r="AC48">
        <f t="shared" si="14"/>
        <v>1.1196698762035764</v>
      </c>
    </row>
    <row r="49" spans="1:29" x14ac:dyDescent="0.3">
      <c r="A49" s="5">
        <v>43405</v>
      </c>
      <c r="B49">
        <v>1.0319488817891369</v>
      </c>
      <c r="C49">
        <v>1.152204836415363</v>
      </c>
      <c r="D49">
        <v>1.0287234042553191</v>
      </c>
      <c r="E49">
        <v>1.02049622437972</v>
      </c>
      <c r="F49" s="16">
        <f t="shared" si="15"/>
        <v>1.0502186060319363</v>
      </c>
      <c r="G49" s="16">
        <f t="shared" si="16"/>
        <v>1.0351089709252912</v>
      </c>
      <c r="H49" s="16">
        <f t="shared" si="17"/>
        <v>1.0530818690593169</v>
      </c>
      <c r="I49" s="16">
        <f t="shared" si="18"/>
        <v>1.080655049524001</v>
      </c>
      <c r="J49" s="16">
        <f t="shared" si="19"/>
        <v>1.097306789388512</v>
      </c>
      <c r="K49" s="16">
        <f t="shared" si="20"/>
        <v>1.1429927177773034</v>
      </c>
      <c r="L49" s="16">
        <f t="shared" si="21"/>
        <v>1.2372637458040199</v>
      </c>
      <c r="M49">
        <v>1.015625</v>
      </c>
      <c r="N49">
        <v>1.109262589928057</v>
      </c>
      <c r="P49">
        <v>1.109747784594411</v>
      </c>
      <c r="Q49">
        <v>1.2884187082405349</v>
      </c>
      <c r="R49">
        <v>1.6183159486240939</v>
      </c>
      <c r="S49" s="3">
        <v>162.1</v>
      </c>
      <c r="T49" s="3">
        <v>105.2</v>
      </c>
      <c r="U49" s="3">
        <v>105.2</v>
      </c>
      <c r="V49" s="3">
        <v>107.9</v>
      </c>
      <c r="W49" s="2">
        <v>126.4</v>
      </c>
      <c r="X49" s="2">
        <v>162.80000000000001</v>
      </c>
      <c r="Y49">
        <f t="shared" si="10"/>
        <v>1.0233463035019457</v>
      </c>
      <c r="Z49">
        <f t="shared" si="11"/>
        <v>1.0233463035019457</v>
      </c>
      <c r="AA49">
        <f t="shared" si="12"/>
        <v>0.99081726354453625</v>
      </c>
      <c r="AB49">
        <f t="shared" si="13"/>
        <v>1.1136563876651984</v>
      </c>
      <c r="AC49">
        <f t="shared" si="14"/>
        <v>1.1196698762035764</v>
      </c>
    </row>
    <row r="50" spans="1:29" x14ac:dyDescent="0.3">
      <c r="A50" s="5">
        <v>43435</v>
      </c>
      <c r="B50">
        <v>1.0340788072417459</v>
      </c>
      <c r="C50">
        <v>1.14651493598862</v>
      </c>
      <c r="D50">
        <v>1.0297872340425529</v>
      </c>
      <c r="E50">
        <v>1.0194174757281551</v>
      </c>
      <c r="F50" s="16">
        <f t="shared" si="15"/>
        <v>1.0410746129639019</v>
      </c>
      <c r="G50" s="16">
        <f t="shared" si="16"/>
        <v>1.0202438390052484</v>
      </c>
      <c r="H50" s="16">
        <f t="shared" si="17"/>
        <v>1.038489657022867</v>
      </c>
      <c r="I50" s="16">
        <f t="shared" si="18"/>
        <v>1.0796510897689771</v>
      </c>
      <c r="J50" s="16">
        <f t="shared" si="19"/>
        <v>1.1042898343753687</v>
      </c>
      <c r="K50" s="16">
        <f t="shared" si="20"/>
        <v>1.1381878752471462</v>
      </c>
      <c r="L50" s="16">
        <f t="shared" si="21"/>
        <v>1.239501030658416</v>
      </c>
      <c r="M50">
        <v>1.0089285714285721</v>
      </c>
      <c r="N50">
        <v>1.1052158273381301</v>
      </c>
      <c r="P50">
        <v>1.109747784594411</v>
      </c>
      <c r="Q50">
        <v>1.2768725823467351</v>
      </c>
      <c r="R50">
        <v>1.657481028326121</v>
      </c>
      <c r="S50" s="3">
        <v>161.30000000000001</v>
      </c>
      <c r="T50" s="3">
        <v>101.9</v>
      </c>
      <c r="U50" s="3">
        <v>101.9</v>
      </c>
      <c r="V50" s="3">
        <v>108</v>
      </c>
      <c r="W50" s="2">
        <v>126.4</v>
      </c>
      <c r="X50" s="2">
        <v>162.80000000000001</v>
      </c>
      <c r="Y50">
        <f t="shared" si="10"/>
        <v>0.99124513618677046</v>
      </c>
      <c r="Z50">
        <f t="shared" si="11"/>
        <v>0.99124513618677046</v>
      </c>
      <c r="AA50">
        <f t="shared" si="12"/>
        <v>0.99173553719008256</v>
      </c>
      <c r="AB50">
        <f t="shared" si="13"/>
        <v>1.1136563876651984</v>
      </c>
      <c r="AC50">
        <f t="shared" si="14"/>
        <v>1.1196698762035764</v>
      </c>
    </row>
    <row r="51" spans="1:29" x14ac:dyDescent="0.3">
      <c r="A51" s="5">
        <v>43466</v>
      </c>
      <c r="B51">
        <v>1.0362087326943561</v>
      </c>
      <c r="C51">
        <v>1.1365576102418209</v>
      </c>
      <c r="D51">
        <v>1.030851063829787</v>
      </c>
      <c r="E51">
        <v>1.02049622437972</v>
      </c>
      <c r="F51" s="16">
        <f t="shared" si="15"/>
        <v>1.0319306198958675</v>
      </c>
      <c r="G51" s="16">
        <f t="shared" si="16"/>
        <v>1.0053787070852056</v>
      </c>
      <c r="H51" s="16">
        <f t="shared" si="17"/>
        <v>1.0238974449864169</v>
      </c>
      <c r="I51" s="16">
        <f t="shared" si="18"/>
        <v>1.0786471300139533</v>
      </c>
      <c r="J51" s="16">
        <f t="shared" si="19"/>
        <v>1.1112728793622253</v>
      </c>
      <c r="K51" s="16">
        <f t="shared" si="20"/>
        <v>1.1333830327169889</v>
      </c>
      <c r="L51" s="16">
        <f t="shared" si="21"/>
        <v>1.2417383155128119</v>
      </c>
      <c r="M51">
        <v>1.005580357142857</v>
      </c>
      <c r="N51">
        <v>1.0809352517985611</v>
      </c>
      <c r="P51">
        <v>1.10838445807771</v>
      </c>
      <c r="Q51">
        <v>1.222784639265708</v>
      </c>
      <c r="R51">
        <v>1.7017859464721601</v>
      </c>
      <c r="S51" s="3">
        <v>161.4</v>
      </c>
      <c r="T51" s="3">
        <v>101.5</v>
      </c>
      <c r="U51" s="3">
        <v>101.5</v>
      </c>
      <c r="V51" s="3">
        <v>107.9</v>
      </c>
      <c r="W51" s="2">
        <v>126.9</v>
      </c>
      <c r="X51" s="2">
        <v>162.6</v>
      </c>
      <c r="Y51">
        <f t="shared" si="10"/>
        <v>0.98735408560311289</v>
      </c>
      <c r="Z51">
        <f t="shared" si="11"/>
        <v>0.98735408560311289</v>
      </c>
      <c r="AA51">
        <f t="shared" si="12"/>
        <v>0.99081726354453625</v>
      </c>
      <c r="AB51">
        <f t="shared" si="13"/>
        <v>1.1180616740088105</v>
      </c>
      <c r="AC51">
        <f t="shared" si="14"/>
        <v>1.1182943603851443</v>
      </c>
    </row>
    <row r="52" spans="1:29" x14ac:dyDescent="0.3">
      <c r="A52" s="5">
        <v>43497</v>
      </c>
      <c r="B52">
        <v>1.0383386581469649</v>
      </c>
      <c r="C52">
        <v>1.1266002844950209</v>
      </c>
      <c r="D52">
        <v>1.030851063829787</v>
      </c>
      <c r="E52">
        <v>1.0194174757281551</v>
      </c>
      <c r="F52" s="16">
        <f t="shared" si="15"/>
        <v>1.0309742042916117</v>
      </c>
      <c r="G52" s="16">
        <f t="shared" si="16"/>
        <v>1.0046334882024879</v>
      </c>
      <c r="H52" s="16">
        <f t="shared" si="17"/>
        <v>1.0241130260836744</v>
      </c>
      <c r="I52" s="16">
        <f t="shared" si="18"/>
        <v>1.0776465490653486</v>
      </c>
      <c r="J52" s="16">
        <f t="shared" si="19"/>
        <v>1.1070244164197061</v>
      </c>
      <c r="K52" s="16">
        <f t="shared" si="20"/>
        <v>1.133104896755631</v>
      </c>
      <c r="L52" s="16">
        <f t="shared" si="21"/>
        <v>1.2451803204671261</v>
      </c>
      <c r="M52">
        <v>1</v>
      </c>
      <c r="N52">
        <v>1.059802158273381</v>
      </c>
      <c r="P52">
        <v>1.109747784594411</v>
      </c>
      <c r="Q52">
        <v>1.2048997772828509</v>
      </c>
      <c r="R52">
        <v>1.747351416735446</v>
      </c>
      <c r="S52" s="3">
        <v>161.6</v>
      </c>
      <c r="T52" s="3">
        <v>101.5</v>
      </c>
      <c r="U52" s="3">
        <v>101.5</v>
      </c>
      <c r="V52" s="3">
        <v>106.9</v>
      </c>
      <c r="W52" s="2">
        <v>129.9</v>
      </c>
      <c r="X52" s="2">
        <v>162.80000000000001</v>
      </c>
      <c r="Y52">
        <f t="shared" si="10"/>
        <v>0.98735408560311289</v>
      </c>
      <c r="Z52">
        <f t="shared" si="11"/>
        <v>0.98735408560311289</v>
      </c>
      <c r="AA52">
        <f t="shared" si="12"/>
        <v>0.98163452708907251</v>
      </c>
      <c r="AB52">
        <f t="shared" si="13"/>
        <v>1.1444933920704847</v>
      </c>
      <c r="AC52">
        <f t="shared" si="14"/>
        <v>1.1196698762035764</v>
      </c>
    </row>
    <row r="53" spans="1:29" x14ac:dyDescent="0.3">
      <c r="A53" s="5">
        <v>43525</v>
      </c>
      <c r="B53">
        <v>1.0383386581469649</v>
      </c>
      <c r="C53">
        <v>1.125177809388336</v>
      </c>
      <c r="D53">
        <v>1.030851063829787</v>
      </c>
      <c r="E53">
        <v>1.0183387270765909</v>
      </c>
      <c r="F53" s="16">
        <f t="shared" si="15"/>
        <v>1.0300177886873558</v>
      </c>
      <c r="G53" s="16">
        <f t="shared" si="16"/>
        <v>1.0038882693197702</v>
      </c>
      <c r="H53" s="16">
        <f t="shared" si="17"/>
        <v>1.0243286071809319</v>
      </c>
      <c r="I53" s="16">
        <f t="shared" si="18"/>
        <v>1.0766459681167437</v>
      </c>
      <c r="J53" s="16">
        <f t="shared" si="19"/>
        <v>1.1027759534771868</v>
      </c>
      <c r="K53" s="16">
        <f t="shared" si="20"/>
        <v>1.1328267607942728</v>
      </c>
      <c r="L53" s="16">
        <f t="shared" si="21"/>
        <v>1.2486223254214401</v>
      </c>
      <c r="M53">
        <v>0.9988839285714286</v>
      </c>
      <c r="N53">
        <v>1.0728417266187049</v>
      </c>
      <c r="P53">
        <v>1.112474437627812</v>
      </c>
      <c r="Q53">
        <v>1.244387881358928</v>
      </c>
      <c r="R53">
        <v>1.7170771091800581</v>
      </c>
      <c r="S53" s="3">
        <v>161.19999999999999</v>
      </c>
      <c r="T53" s="3">
        <v>101.8</v>
      </c>
      <c r="U53" s="3">
        <v>101.8</v>
      </c>
      <c r="V53" s="3">
        <v>107.3</v>
      </c>
      <c r="W53" s="2">
        <v>127.2</v>
      </c>
      <c r="X53" s="2">
        <v>163.19999999999999</v>
      </c>
      <c r="Y53">
        <f t="shared" si="10"/>
        <v>0.99027237354085607</v>
      </c>
      <c r="Z53">
        <f t="shared" si="11"/>
        <v>0.99027237354085607</v>
      </c>
      <c r="AA53">
        <f t="shared" si="12"/>
        <v>0.98530762167125796</v>
      </c>
      <c r="AB53">
        <f t="shared" si="13"/>
        <v>1.120704845814978</v>
      </c>
      <c r="AC53">
        <f t="shared" si="14"/>
        <v>1.1224209078404401</v>
      </c>
    </row>
    <row r="54" spans="1:29" x14ac:dyDescent="0.3">
      <c r="A54" s="5">
        <v>43556</v>
      </c>
      <c r="B54">
        <v>1.0404685835995739</v>
      </c>
      <c r="C54">
        <v>1.125177809388336</v>
      </c>
      <c r="D54">
        <v>1.0297872340425529</v>
      </c>
      <c r="E54">
        <v>1.0194174757281551</v>
      </c>
      <c r="F54" s="16">
        <f t="shared" si="15"/>
        <v>1.0290613730831</v>
      </c>
      <c r="G54" s="16">
        <f t="shared" si="16"/>
        <v>1.0031430504370524</v>
      </c>
      <c r="H54" s="16">
        <f t="shared" si="17"/>
        <v>1.0245441882781892</v>
      </c>
      <c r="I54" s="16">
        <f t="shared" si="18"/>
        <v>1.0756453871681391</v>
      </c>
      <c r="J54" s="16">
        <f t="shared" si="19"/>
        <v>1.0985274905346676</v>
      </c>
      <c r="K54" s="16">
        <f t="shared" si="20"/>
        <v>1.1325486248329149</v>
      </c>
      <c r="L54" s="16">
        <f t="shared" si="21"/>
        <v>1.2520643303757544</v>
      </c>
      <c r="M54">
        <v>0.99776785714285732</v>
      </c>
      <c r="N54">
        <v>1.0521582733812951</v>
      </c>
      <c r="P54">
        <v>1.112474437627812</v>
      </c>
      <c r="Q54">
        <v>1.2954342984409799</v>
      </c>
      <c r="R54">
        <v>1.69248610166882</v>
      </c>
      <c r="S54" s="3">
        <v>161.19999999999999</v>
      </c>
      <c r="T54" s="3">
        <v>102</v>
      </c>
      <c r="U54" s="3">
        <v>102</v>
      </c>
      <c r="V54" s="3">
        <v>108.1</v>
      </c>
      <c r="W54" s="2">
        <v>130.5</v>
      </c>
      <c r="X54" s="2">
        <v>163.19999999999999</v>
      </c>
      <c r="Y54">
        <f t="shared" si="10"/>
        <v>0.99221789883268485</v>
      </c>
      <c r="Z54">
        <f t="shared" si="11"/>
        <v>0.99221789883268485</v>
      </c>
      <c r="AA54">
        <f t="shared" si="12"/>
        <v>0.99265381083562887</v>
      </c>
      <c r="AB54">
        <f t="shared" si="13"/>
        <v>1.1497797356828194</v>
      </c>
      <c r="AC54">
        <f t="shared" si="14"/>
        <v>1.1224209078404401</v>
      </c>
    </row>
    <row r="55" spans="1:29" x14ac:dyDescent="0.3">
      <c r="A55" s="5">
        <v>43586</v>
      </c>
      <c r="B55">
        <v>1.042598509052183</v>
      </c>
      <c r="C55">
        <v>1.1166429587482221</v>
      </c>
      <c r="D55">
        <v>1.030851063829787</v>
      </c>
      <c r="E55">
        <v>1.02049622437972</v>
      </c>
      <c r="F55" s="16">
        <f t="shared" si="15"/>
        <v>1.0281049574788441</v>
      </c>
      <c r="G55" s="16">
        <f t="shared" si="16"/>
        <v>1.0023978315543347</v>
      </c>
      <c r="H55" s="16">
        <f t="shared" si="17"/>
        <v>1.0247597693754467</v>
      </c>
      <c r="I55" s="16">
        <f t="shared" si="18"/>
        <v>1.0746448062195342</v>
      </c>
      <c r="J55" s="16">
        <f t="shared" si="19"/>
        <v>1.0942790275921483</v>
      </c>
      <c r="K55" s="16">
        <f t="shared" si="20"/>
        <v>1.1322704888715569</v>
      </c>
      <c r="L55" s="16">
        <f t="shared" si="21"/>
        <v>1.2555063353300686</v>
      </c>
      <c r="M55">
        <v>0.99330357142857151</v>
      </c>
      <c r="N55">
        <v>1.0332733812949639</v>
      </c>
      <c r="P55">
        <v>1.0906612133606</v>
      </c>
      <c r="Q55">
        <v>1.1898752076925789</v>
      </c>
      <c r="R55">
        <v>1.6127888695072361</v>
      </c>
      <c r="S55" s="3">
        <v>160.19999999999999</v>
      </c>
      <c r="T55" s="3">
        <v>101</v>
      </c>
      <c r="U55" s="3">
        <v>101</v>
      </c>
      <c r="V55" s="3">
        <v>106.6</v>
      </c>
      <c r="W55" s="2">
        <v>130.9</v>
      </c>
      <c r="X55" s="2">
        <v>160</v>
      </c>
      <c r="Y55">
        <f t="shared" si="10"/>
        <v>0.98249027237354092</v>
      </c>
      <c r="Z55">
        <f t="shared" si="11"/>
        <v>0.98249027237354092</v>
      </c>
      <c r="AA55">
        <f t="shared" si="12"/>
        <v>0.97887970615243336</v>
      </c>
      <c r="AB55">
        <f t="shared" si="13"/>
        <v>1.1533039647577092</v>
      </c>
      <c r="AC55">
        <f t="shared" si="14"/>
        <v>1.1004126547455295</v>
      </c>
    </row>
    <row r="56" spans="1:29" x14ac:dyDescent="0.3">
      <c r="A56" s="5">
        <v>43617</v>
      </c>
      <c r="B56">
        <v>1.042598509052183</v>
      </c>
      <c r="C56">
        <v>1.115220483641536</v>
      </c>
      <c r="D56">
        <v>1.035106382978723</v>
      </c>
      <c r="E56">
        <v>1.021574973031284</v>
      </c>
      <c r="F56" s="16">
        <f t="shared" si="15"/>
        <v>1.0271485418745883</v>
      </c>
      <c r="G56" s="16">
        <f t="shared" si="16"/>
        <v>1.001652612671617</v>
      </c>
      <c r="H56" s="16">
        <f t="shared" si="17"/>
        <v>1.0249753504727042</v>
      </c>
      <c r="I56" s="16">
        <f t="shared" si="18"/>
        <v>1.0736442252709295</v>
      </c>
      <c r="J56" s="16">
        <f t="shared" si="19"/>
        <v>1.0900305646496291</v>
      </c>
      <c r="K56" s="16">
        <f t="shared" si="20"/>
        <v>1.1319923529101987</v>
      </c>
      <c r="L56" s="16">
        <f t="shared" si="21"/>
        <v>1.2589483402843828</v>
      </c>
      <c r="M56">
        <v>0.9832589285714286</v>
      </c>
      <c r="N56">
        <v>1.0004496402877701</v>
      </c>
      <c r="P56">
        <v>1.05521472392638</v>
      </c>
      <c r="Q56">
        <v>1.1529324424647369</v>
      </c>
      <c r="R56">
        <v>1.52152373200122</v>
      </c>
      <c r="S56" s="3">
        <v>160.1</v>
      </c>
      <c r="T56" s="3">
        <v>101.4</v>
      </c>
      <c r="U56" s="3">
        <v>101.4</v>
      </c>
      <c r="V56" s="3">
        <v>105.9</v>
      </c>
      <c r="W56" s="2">
        <v>131.19999999999999</v>
      </c>
      <c r="X56" s="2">
        <v>154.80000000000001</v>
      </c>
      <c r="Y56">
        <f t="shared" si="10"/>
        <v>0.98638132295719849</v>
      </c>
      <c r="Z56">
        <f t="shared" si="11"/>
        <v>0.98638132295719849</v>
      </c>
      <c r="AA56">
        <f t="shared" si="12"/>
        <v>0.97245179063360887</v>
      </c>
      <c r="AB56">
        <f t="shared" si="13"/>
        <v>1.1559471365638765</v>
      </c>
      <c r="AC56">
        <f t="shared" si="14"/>
        <v>1.0646492434663</v>
      </c>
    </row>
    <row r="57" spans="1:29" x14ac:dyDescent="0.3">
      <c r="A57" s="5">
        <v>43647</v>
      </c>
      <c r="B57">
        <v>1.042598509052183</v>
      </c>
      <c r="C57">
        <v>1.10099573257468</v>
      </c>
      <c r="D57">
        <v>1.035106382978723</v>
      </c>
      <c r="E57">
        <v>1.0194174757281551</v>
      </c>
      <c r="F57" s="16">
        <f t="shared" si="15"/>
        <v>1.0261921262703324</v>
      </c>
      <c r="G57" s="16">
        <f t="shared" si="16"/>
        <v>1.0009073937888993</v>
      </c>
      <c r="H57" s="16">
        <f t="shared" si="17"/>
        <v>1.0251909315699614</v>
      </c>
      <c r="I57" s="16">
        <f t="shared" si="18"/>
        <v>1.0726436443223246</v>
      </c>
      <c r="J57" s="16">
        <f t="shared" si="19"/>
        <v>1.0857821017071099</v>
      </c>
      <c r="K57" s="16">
        <f t="shared" si="20"/>
        <v>1.1317142169488408</v>
      </c>
      <c r="L57" s="16">
        <f t="shared" si="21"/>
        <v>1.2623903452386971</v>
      </c>
      <c r="M57">
        <v>0.9776785714285714</v>
      </c>
      <c r="N57">
        <v>0.97526978417266186</v>
      </c>
      <c r="P57">
        <v>1.05521472392638</v>
      </c>
      <c r="Q57">
        <v>1.1215906523353021</v>
      </c>
      <c r="R57">
        <v>1.4666749125824421</v>
      </c>
      <c r="S57" s="3">
        <v>160.1</v>
      </c>
      <c r="T57" s="3">
        <v>101.2</v>
      </c>
      <c r="U57" s="3">
        <v>101.2</v>
      </c>
      <c r="V57" s="3">
        <v>105.1</v>
      </c>
      <c r="W57" s="2">
        <v>131.30000000000001</v>
      </c>
      <c r="X57" s="2">
        <v>154.80000000000001</v>
      </c>
      <c r="Y57">
        <f t="shared" si="10"/>
        <v>0.98443579766536971</v>
      </c>
      <c r="Z57">
        <f t="shared" si="11"/>
        <v>0.98443579766536971</v>
      </c>
      <c r="AA57">
        <f t="shared" si="12"/>
        <v>0.96510560146923774</v>
      </c>
      <c r="AB57">
        <f t="shared" si="13"/>
        <v>1.1568281938325993</v>
      </c>
      <c r="AC57">
        <f t="shared" si="14"/>
        <v>1.0646492434663</v>
      </c>
    </row>
    <row r="58" spans="1:29" x14ac:dyDescent="0.3">
      <c r="A58" s="5">
        <v>43678</v>
      </c>
      <c r="B58">
        <v>1.0436634717784881</v>
      </c>
      <c r="C58">
        <v>1.0995732574679939</v>
      </c>
      <c r="D58">
        <v>1.038297872340425</v>
      </c>
      <c r="E58">
        <v>1.0183387270765909</v>
      </c>
      <c r="F58" s="16">
        <f t="shared" si="15"/>
        <v>1.0252357106660763</v>
      </c>
      <c r="G58" s="16">
        <f t="shared" si="16"/>
        <v>1.0001621749061815</v>
      </c>
      <c r="H58" s="16">
        <f t="shared" si="17"/>
        <v>1.0254065126672189</v>
      </c>
      <c r="I58" s="16">
        <f t="shared" si="18"/>
        <v>1.07164306337372</v>
      </c>
      <c r="J58" s="16">
        <f t="shared" si="19"/>
        <v>1.0815336387645904</v>
      </c>
      <c r="K58" s="16">
        <f t="shared" si="20"/>
        <v>1.1314360809874828</v>
      </c>
      <c r="L58" s="16">
        <f t="shared" si="21"/>
        <v>1.2658323501930111</v>
      </c>
      <c r="M58">
        <v>0.97544642857142871</v>
      </c>
      <c r="N58">
        <v>0.97931654676258995</v>
      </c>
      <c r="P58">
        <v>1.05521472392638</v>
      </c>
      <c r="Q58">
        <v>1.0508714250362361</v>
      </c>
      <c r="R58">
        <v>1.2670552003264739</v>
      </c>
      <c r="S58" s="3">
        <v>160.1</v>
      </c>
      <c r="T58" s="3">
        <v>100.8</v>
      </c>
      <c r="U58" s="3">
        <v>100.8</v>
      </c>
      <c r="V58" s="3">
        <v>103.7</v>
      </c>
      <c r="W58" s="2">
        <v>131.69999999999999</v>
      </c>
      <c r="X58" s="2">
        <v>154.80000000000001</v>
      </c>
      <c r="Y58">
        <f t="shared" si="10"/>
        <v>0.98054474708171202</v>
      </c>
      <c r="Z58">
        <f t="shared" si="11"/>
        <v>0.98054474708171202</v>
      </c>
      <c r="AA58">
        <f t="shared" si="12"/>
        <v>0.95224977043158854</v>
      </c>
      <c r="AB58">
        <f t="shared" si="13"/>
        <v>1.1603524229074889</v>
      </c>
      <c r="AC58">
        <f t="shared" si="14"/>
        <v>1.0646492434663</v>
      </c>
    </row>
    <row r="59" spans="1:29" x14ac:dyDescent="0.3">
      <c r="A59" s="5">
        <v>43709</v>
      </c>
      <c r="B59">
        <v>1.0436634717784881</v>
      </c>
      <c r="C59">
        <v>1.0938833570412521</v>
      </c>
      <c r="D59">
        <v>1.037234042553191</v>
      </c>
      <c r="E59">
        <v>1.0183387270765909</v>
      </c>
      <c r="F59" s="16">
        <f t="shared" si="15"/>
        <v>1.0242792950618205</v>
      </c>
      <c r="G59" s="16">
        <f t="shared" si="16"/>
        <v>0.99941695602346381</v>
      </c>
      <c r="H59" s="16">
        <f t="shared" si="17"/>
        <v>1.0256220937644764</v>
      </c>
      <c r="I59" s="16">
        <f t="shared" si="18"/>
        <v>1.0706424824251153</v>
      </c>
      <c r="J59" s="16">
        <f t="shared" si="19"/>
        <v>1.0772851758220712</v>
      </c>
      <c r="K59" s="16">
        <f t="shared" si="20"/>
        <v>1.1311579450261247</v>
      </c>
      <c r="L59" s="16">
        <f t="shared" si="21"/>
        <v>1.2692743551473253</v>
      </c>
      <c r="M59">
        <v>0.96986607142857151</v>
      </c>
      <c r="N59">
        <v>0.9545863309352518</v>
      </c>
      <c r="P59">
        <v>1.05521472392638</v>
      </c>
      <c r="Q59">
        <v>1.0588256089369681</v>
      </c>
      <c r="R59">
        <v>1.217782329055807</v>
      </c>
      <c r="S59" s="3">
        <v>160.1</v>
      </c>
      <c r="T59" s="3">
        <v>100.8</v>
      </c>
      <c r="U59" s="3">
        <v>100.8</v>
      </c>
      <c r="V59" s="3">
        <v>103.9</v>
      </c>
      <c r="W59" s="2">
        <v>132.1</v>
      </c>
      <c r="X59" s="2">
        <v>154.80000000000001</v>
      </c>
      <c r="Y59">
        <f t="shared" si="10"/>
        <v>0.98054474708171202</v>
      </c>
      <c r="Z59">
        <f t="shared" si="11"/>
        <v>0.98054474708171202</v>
      </c>
      <c r="AA59">
        <f t="shared" si="12"/>
        <v>0.95408631772268138</v>
      </c>
      <c r="AB59">
        <f t="shared" si="13"/>
        <v>1.1638766519823789</v>
      </c>
      <c r="AC59">
        <f t="shared" si="14"/>
        <v>1.0646492434663</v>
      </c>
    </row>
    <row r="60" spans="1:29" x14ac:dyDescent="0.3">
      <c r="A60" s="5">
        <v>43739</v>
      </c>
      <c r="B60">
        <v>1.0436634717784881</v>
      </c>
      <c r="C60">
        <v>1.075391180654339</v>
      </c>
      <c r="D60">
        <v>1.03936170212766</v>
      </c>
      <c r="E60">
        <v>1.0161812297734629</v>
      </c>
      <c r="F60" s="16">
        <f t="shared" si="15"/>
        <v>1.0233228794575646</v>
      </c>
      <c r="G60" s="16">
        <f t="shared" si="16"/>
        <v>0.99867173714074609</v>
      </c>
      <c r="H60" s="16">
        <f t="shared" si="17"/>
        <v>1.0258376748617339</v>
      </c>
      <c r="I60" s="16">
        <f t="shared" si="18"/>
        <v>1.0696419014765104</v>
      </c>
      <c r="J60" s="16">
        <f t="shared" si="19"/>
        <v>1.0730367128795519</v>
      </c>
      <c r="K60" s="16">
        <f t="shared" si="20"/>
        <v>1.1308798090647667</v>
      </c>
      <c r="L60" s="16">
        <f t="shared" si="21"/>
        <v>1.2727163601016396</v>
      </c>
      <c r="M60">
        <v>0.96875</v>
      </c>
      <c r="N60">
        <v>0.92805755395683454</v>
      </c>
      <c r="P60">
        <v>1.05521472392638</v>
      </c>
      <c r="Q60">
        <v>1.0970272102256231</v>
      </c>
      <c r="R60">
        <v>1.258656527925317</v>
      </c>
      <c r="S60" s="3">
        <v>160.30000000000001</v>
      </c>
      <c r="T60" s="3">
        <v>100.9</v>
      </c>
      <c r="U60" s="3">
        <v>100.9</v>
      </c>
      <c r="V60" s="3">
        <v>104.9</v>
      </c>
      <c r="W60" s="2">
        <v>132.4</v>
      </c>
      <c r="X60" s="2">
        <v>154.80000000000001</v>
      </c>
      <c r="Y60">
        <f t="shared" si="10"/>
        <v>0.98151750972762652</v>
      </c>
      <c r="Z60">
        <f t="shared" si="11"/>
        <v>0.98151750972762652</v>
      </c>
      <c r="AA60">
        <f t="shared" si="12"/>
        <v>0.96326905417814512</v>
      </c>
      <c r="AB60">
        <f t="shared" si="13"/>
        <v>1.1665198237885464</v>
      </c>
      <c r="AC60">
        <f t="shared" si="14"/>
        <v>1.0646492434663</v>
      </c>
    </row>
    <row r="61" spans="1:29" x14ac:dyDescent="0.3">
      <c r="A61" s="5">
        <v>43770</v>
      </c>
      <c r="B61">
        <v>1.042598509052183</v>
      </c>
      <c r="C61">
        <v>1.0583214793741109</v>
      </c>
      <c r="D61">
        <v>1.03936170212766</v>
      </c>
      <c r="E61">
        <v>1.015102481121898</v>
      </c>
      <c r="F61" s="16">
        <f t="shared" si="15"/>
        <v>1.0223664638533088</v>
      </c>
      <c r="G61" s="16">
        <f t="shared" si="16"/>
        <v>0.99792651825802836</v>
      </c>
      <c r="H61" s="16">
        <f t="shared" si="17"/>
        <v>1.0260532559589914</v>
      </c>
      <c r="I61" s="16">
        <f t="shared" si="18"/>
        <v>1.0686413205279057</v>
      </c>
      <c r="J61" s="16">
        <f t="shared" si="19"/>
        <v>1.0687882499370327</v>
      </c>
      <c r="K61" s="16">
        <f t="shared" si="20"/>
        <v>1.1306016731034088</v>
      </c>
      <c r="L61" s="16">
        <f t="shared" si="21"/>
        <v>1.2761583650559536</v>
      </c>
      <c r="M61">
        <v>0.96540178571428581</v>
      </c>
      <c r="N61">
        <v>0.92221223021582732</v>
      </c>
      <c r="P61">
        <v>1.0531697341513291</v>
      </c>
      <c r="Q61">
        <v>1.1114646303955871</v>
      </c>
      <c r="R61">
        <v>1.262421561214035</v>
      </c>
      <c r="S61" s="3">
        <v>159.69999999999999</v>
      </c>
      <c r="T61" s="3">
        <v>100.3</v>
      </c>
      <c r="U61" s="3">
        <v>100.3</v>
      </c>
      <c r="V61" s="3">
        <v>105.4</v>
      </c>
      <c r="W61" s="2">
        <v>132.80000000000001</v>
      </c>
      <c r="X61" s="2">
        <v>154.5</v>
      </c>
      <c r="Y61">
        <f t="shared" si="10"/>
        <v>0.97568093385214005</v>
      </c>
      <c r="Z61">
        <f t="shared" si="11"/>
        <v>0.97568093385214005</v>
      </c>
      <c r="AA61">
        <f t="shared" si="12"/>
        <v>0.967860422405877</v>
      </c>
      <c r="AB61">
        <f t="shared" si="13"/>
        <v>1.1700440528634362</v>
      </c>
      <c r="AC61">
        <f t="shared" si="14"/>
        <v>1.0625859697386519</v>
      </c>
    </row>
    <row r="62" spans="1:29" x14ac:dyDescent="0.3">
      <c r="A62" s="5">
        <v>43800</v>
      </c>
      <c r="B62">
        <v>1.0436634717784881</v>
      </c>
      <c r="C62">
        <v>1.0526315789473679</v>
      </c>
      <c r="D62">
        <v>1.0404255319148941</v>
      </c>
      <c r="E62">
        <v>1.0129449838187701</v>
      </c>
      <c r="F62" s="16">
        <f t="shared" si="15"/>
        <v>1.0214100482490529</v>
      </c>
      <c r="G62" s="16">
        <f t="shared" si="16"/>
        <v>0.99718129937531064</v>
      </c>
      <c r="H62" s="16">
        <f t="shared" si="17"/>
        <v>1.0262688370562487</v>
      </c>
      <c r="I62" s="16">
        <f t="shared" si="18"/>
        <v>1.0676407395793008</v>
      </c>
      <c r="J62" s="16">
        <f t="shared" si="19"/>
        <v>1.0645397869945135</v>
      </c>
      <c r="K62" s="16">
        <f t="shared" si="20"/>
        <v>1.1303235371420506</v>
      </c>
      <c r="L62" s="16">
        <f t="shared" si="21"/>
        <v>1.2796003700102678</v>
      </c>
      <c r="M62">
        <v>0.96540178571428581</v>
      </c>
      <c r="N62">
        <v>0.93210431654676262</v>
      </c>
      <c r="P62">
        <v>1.051806407634629</v>
      </c>
      <c r="Q62">
        <v>1.125909428359317</v>
      </c>
      <c r="R62">
        <v>1.2489733222718009</v>
      </c>
      <c r="S62" s="3">
        <v>159</v>
      </c>
      <c r="T62" s="3">
        <v>99.6</v>
      </c>
      <c r="U62" s="3">
        <v>99.6</v>
      </c>
      <c r="V62" s="3">
        <v>104.2</v>
      </c>
      <c r="W62" s="2">
        <v>133</v>
      </c>
      <c r="X62" s="2">
        <v>154.30000000000001</v>
      </c>
      <c r="Y62">
        <f t="shared" si="10"/>
        <v>0.9688715953307393</v>
      </c>
      <c r="Z62">
        <f t="shared" si="11"/>
        <v>0.9688715953307393</v>
      </c>
      <c r="AA62">
        <f t="shared" si="12"/>
        <v>0.95684113865932041</v>
      </c>
      <c r="AB62">
        <f t="shared" si="13"/>
        <v>1.1718061674008811</v>
      </c>
      <c r="AC62">
        <f t="shared" si="14"/>
        <v>1.0612104539202201</v>
      </c>
    </row>
    <row r="63" spans="1:29" x14ac:dyDescent="0.3">
      <c r="A63" s="5">
        <v>43831</v>
      </c>
      <c r="B63">
        <v>1.0436634717784881</v>
      </c>
      <c r="C63">
        <v>1.04551920341394</v>
      </c>
      <c r="D63">
        <v>1.03936170212766</v>
      </c>
      <c r="E63">
        <v>1.0140237324703341</v>
      </c>
      <c r="F63" s="16">
        <f t="shared" si="15"/>
        <v>1.020453632644797</v>
      </c>
      <c r="G63" s="16">
        <f t="shared" si="16"/>
        <v>0.99643608049259291</v>
      </c>
      <c r="H63" s="16">
        <f t="shared" si="17"/>
        <v>1.0264844181535062</v>
      </c>
      <c r="I63" s="16">
        <f t="shared" si="18"/>
        <v>1.0666401586306962</v>
      </c>
      <c r="J63" s="16">
        <f t="shared" si="19"/>
        <v>1.0602913240519942</v>
      </c>
      <c r="K63" s="16">
        <f t="shared" si="20"/>
        <v>1.1300454011806926</v>
      </c>
      <c r="L63" s="16">
        <f t="shared" si="21"/>
        <v>1.2830423749645821</v>
      </c>
      <c r="M63">
        <v>0.96428571428571441</v>
      </c>
      <c r="N63">
        <v>0.95368705035971213</v>
      </c>
      <c r="P63">
        <v>1.0334014996591681</v>
      </c>
      <c r="Q63">
        <v>1.1739893365728551</v>
      </c>
      <c r="R63">
        <v>1.2979746219600721</v>
      </c>
      <c r="S63" s="3">
        <v>157.9</v>
      </c>
      <c r="T63" s="3">
        <v>98.8</v>
      </c>
      <c r="U63" s="3">
        <v>98.8</v>
      </c>
      <c r="V63" s="3">
        <v>103.8</v>
      </c>
      <c r="W63" s="2">
        <v>135.6</v>
      </c>
      <c r="X63" s="2">
        <v>151.6</v>
      </c>
      <c r="Y63">
        <f t="shared" si="10"/>
        <v>0.96108949416342415</v>
      </c>
      <c r="Z63">
        <f t="shared" si="11"/>
        <v>0.96108949416342415</v>
      </c>
      <c r="AA63">
        <f t="shared" si="12"/>
        <v>0.95316804407713496</v>
      </c>
      <c r="AB63">
        <f t="shared" si="13"/>
        <v>1.1947136563876652</v>
      </c>
      <c r="AC63">
        <f t="shared" si="14"/>
        <v>1.0426409903713891</v>
      </c>
    </row>
    <row r="64" spans="1:29" x14ac:dyDescent="0.3">
      <c r="A64" s="5">
        <v>43862</v>
      </c>
      <c r="B64">
        <v>1.0436634717784881</v>
      </c>
      <c r="C64">
        <v>1.041251778093883</v>
      </c>
      <c r="D64">
        <v>1.0404255319148941</v>
      </c>
      <c r="E64">
        <v>1.0140237324703341</v>
      </c>
      <c r="F64" s="16">
        <f t="shared" si="15"/>
        <v>1.0553625664836035</v>
      </c>
      <c r="G64" s="16">
        <f t="shared" si="16"/>
        <v>1.043519686912326</v>
      </c>
      <c r="H64" s="16">
        <f t="shared" si="17"/>
        <v>1.0859273481243572</v>
      </c>
      <c r="I64" s="16">
        <f t="shared" si="18"/>
        <v>1.0856215661073545</v>
      </c>
      <c r="J64" s="16">
        <f t="shared" si="19"/>
        <v>1.0748926318267713</v>
      </c>
      <c r="K64" s="16">
        <f t="shared" si="20"/>
        <v>1.1519556882021147</v>
      </c>
      <c r="L64" s="16">
        <f t="shared" si="21"/>
        <v>1.3120345236850559</v>
      </c>
      <c r="M64">
        <v>0.96205357142857151</v>
      </c>
      <c r="N64">
        <v>0.94019784172661869</v>
      </c>
      <c r="P64">
        <v>1.0306748466257669</v>
      </c>
      <c r="Q64">
        <v>1.1368596881959909</v>
      </c>
      <c r="R64">
        <v>1.2659607298805491</v>
      </c>
      <c r="S64" s="3">
        <v>156.6</v>
      </c>
      <c r="T64" s="3">
        <v>99.7</v>
      </c>
      <c r="U64" s="3">
        <v>99.7</v>
      </c>
      <c r="V64" s="3">
        <v>105.3</v>
      </c>
      <c r="W64" s="2">
        <v>134.1</v>
      </c>
      <c r="X64" s="2">
        <v>151.19999999999999</v>
      </c>
      <c r="Y64">
        <f t="shared" si="10"/>
        <v>0.9698443579766538</v>
      </c>
      <c r="Z64">
        <f t="shared" si="11"/>
        <v>0.9698443579766538</v>
      </c>
      <c r="AA64">
        <f t="shared" si="12"/>
        <v>0.96694214876033047</v>
      </c>
      <c r="AB64">
        <f t="shared" si="13"/>
        <v>1.1814977973568281</v>
      </c>
      <c r="AC64">
        <f t="shared" si="14"/>
        <v>1.0398899587345254</v>
      </c>
    </row>
    <row r="65" spans="1:29" x14ac:dyDescent="0.3">
      <c r="A65" s="5">
        <v>43891</v>
      </c>
      <c r="B65">
        <v>1.042598509052183</v>
      </c>
      <c r="C65">
        <v>1.0369843527738269</v>
      </c>
      <c r="D65">
        <v>1.0404255319148941</v>
      </c>
      <c r="E65">
        <v>1.0140237324703341</v>
      </c>
      <c r="F65" s="16">
        <f t="shared" si="15"/>
        <v>1.0902715003224099</v>
      </c>
      <c r="G65" s="16">
        <f t="shared" si="16"/>
        <v>1.0906032933320593</v>
      </c>
      <c r="H65" s="16">
        <f t="shared" si="17"/>
        <v>1.1453702780952084</v>
      </c>
      <c r="I65" s="16">
        <f t="shared" si="18"/>
        <v>1.1046029735840128</v>
      </c>
      <c r="J65" s="16">
        <f t="shared" si="19"/>
        <v>1.0894939396015484</v>
      </c>
      <c r="K65" s="16">
        <f t="shared" si="20"/>
        <v>1.1738659752235368</v>
      </c>
      <c r="L65" s="16">
        <f t="shared" si="21"/>
        <v>1.3410266724055298</v>
      </c>
      <c r="M65">
        <v>0.9520089285714286</v>
      </c>
      <c r="N65">
        <v>0.94694244604316546</v>
      </c>
      <c r="P65">
        <v>1.026584867075665</v>
      </c>
      <c r="Q65">
        <v>1.0049942633461559</v>
      </c>
      <c r="R65">
        <v>1.1024461118723821</v>
      </c>
      <c r="S65" s="3">
        <v>156.69999999999999</v>
      </c>
      <c r="T65" s="3">
        <v>99.5</v>
      </c>
      <c r="U65" s="3">
        <v>99.5</v>
      </c>
      <c r="V65" s="3">
        <v>105.9</v>
      </c>
      <c r="W65" s="2">
        <v>134.19999999999999</v>
      </c>
      <c r="X65" s="2">
        <v>150.6</v>
      </c>
      <c r="Y65">
        <f t="shared" si="10"/>
        <v>0.96789883268482491</v>
      </c>
      <c r="Z65">
        <f t="shared" si="11"/>
        <v>0.96789883268482491</v>
      </c>
      <c r="AA65">
        <f t="shared" si="12"/>
        <v>0.97245179063360887</v>
      </c>
      <c r="AB65">
        <f t="shared" si="13"/>
        <v>1.1823788546255505</v>
      </c>
      <c r="AC65">
        <f t="shared" si="14"/>
        <v>1.0357634112792296</v>
      </c>
    </row>
    <row r="66" spans="1:29" x14ac:dyDescent="0.3">
      <c r="A66" s="5">
        <v>43922</v>
      </c>
      <c r="B66">
        <v>1.0436634717784881</v>
      </c>
      <c r="C66">
        <v>1.0369843527738269</v>
      </c>
      <c r="D66">
        <v>1.042553191489362</v>
      </c>
      <c r="E66">
        <v>1.015102481121898</v>
      </c>
      <c r="F66" s="16">
        <f t="shared" si="15"/>
        <v>1.1251804341612162</v>
      </c>
      <c r="G66" s="16">
        <f t="shared" si="16"/>
        <v>1.1376868997517924</v>
      </c>
      <c r="H66" s="16">
        <f t="shared" si="17"/>
        <v>1.2048132080660594</v>
      </c>
      <c r="I66" s="16">
        <f t="shared" si="18"/>
        <v>1.1235843810606714</v>
      </c>
      <c r="J66" s="16">
        <f t="shared" si="19"/>
        <v>1.1040952473763255</v>
      </c>
      <c r="K66" s="16">
        <f t="shared" si="20"/>
        <v>1.1957762622449588</v>
      </c>
      <c r="L66" s="16">
        <f t="shared" si="21"/>
        <v>1.3700188211260036</v>
      </c>
      <c r="M66">
        <v>0.94531250000000011</v>
      </c>
      <c r="N66">
        <v>0.92041366906474809</v>
      </c>
      <c r="P66">
        <v>1.026584867075665</v>
      </c>
      <c r="Q66">
        <v>0.94331848552338537</v>
      </c>
      <c r="R66">
        <v>0.96928473993822717</v>
      </c>
      <c r="S66" s="3">
        <v>156.19999999999999</v>
      </c>
      <c r="T66" s="3">
        <v>100.1</v>
      </c>
      <c r="U66" s="3">
        <v>100.1</v>
      </c>
      <c r="V66" s="3">
        <v>105.8</v>
      </c>
      <c r="W66" s="2">
        <v>134.4</v>
      </c>
      <c r="X66" s="2">
        <v>150.6</v>
      </c>
      <c r="Y66">
        <f t="shared" si="10"/>
        <v>0.97373540856031127</v>
      </c>
      <c r="Z66">
        <f t="shared" si="11"/>
        <v>0.97373540856031127</v>
      </c>
      <c r="AA66">
        <f t="shared" si="12"/>
        <v>0.97153351698806234</v>
      </c>
      <c r="AB66">
        <f t="shared" si="13"/>
        <v>1.1841409691629956</v>
      </c>
      <c r="AC66">
        <f t="shared" si="14"/>
        <v>1.0357634112792296</v>
      </c>
    </row>
    <row r="67" spans="1:29" x14ac:dyDescent="0.3">
      <c r="A67" s="5">
        <v>43952</v>
      </c>
      <c r="B67">
        <v>1.0436634717784881</v>
      </c>
      <c r="C67">
        <v>1.028449502133713</v>
      </c>
      <c r="D67">
        <v>1.0436170212765961</v>
      </c>
      <c r="E67">
        <v>1.0107874865156421</v>
      </c>
      <c r="F67" s="16">
        <f t="shared" si="15"/>
        <v>1.1600893680000226</v>
      </c>
      <c r="G67" s="16">
        <f t="shared" si="16"/>
        <v>1.1847705061715255</v>
      </c>
      <c r="H67" s="16">
        <f t="shared" si="17"/>
        <v>1.2642561380369104</v>
      </c>
      <c r="I67" s="16">
        <f t="shared" si="18"/>
        <v>1.1425657885373297</v>
      </c>
      <c r="J67" s="16">
        <f t="shared" si="19"/>
        <v>1.1186965551511026</v>
      </c>
      <c r="K67" s="16">
        <f t="shared" si="20"/>
        <v>1.2176865492663809</v>
      </c>
      <c r="L67" s="16">
        <f t="shared" si="21"/>
        <v>1.3990109698464774</v>
      </c>
      <c r="M67">
        <v>0.93415178571428581</v>
      </c>
      <c r="N67">
        <v>0.91501798561151082</v>
      </c>
      <c r="P67">
        <v>1.026584867075665</v>
      </c>
      <c r="Q67">
        <v>0.97554018676982046</v>
      </c>
      <c r="R67">
        <v>0.93014612771111527</v>
      </c>
      <c r="S67" s="3">
        <v>156.19999999999999</v>
      </c>
      <c r="T67" s="3">
        <v>98.3</v>
      </c>
      <c r="U67" s="3">
        <v>98.3</v>
      </c>
      <c r="V67" s="3">
        <v>104.5</v>
      </c>
      <c r="W67" s="2">
        <v>134.19999999999999</v>
      </c>
      <c r="X67" s="2">
        <v>150.6</v>
      </c>
      <c r="Y67">
        <f t="shared" si="10"/>
        <v>0.95622568093385218</v>
      </c>
      <c r="Z67">
        <f t="shared" si="11"/>
        <v>0.95622568093385218</v>
      </c>
      <c r="AA67">
        <f t="shared" si="12"/>
        <v>0.95959595959595956</v>
      </c>
      <c r="AB67">
        <f t="shared" si="13"/>
        <v>1.1823788546255505</v>
      </c>
      <c r="AC67">
        <f t="shared" si="14"/>
        <v>1.0357634112792296</v>
      </c>
    </row>
    <row r="68" spans="1:29" x14ac:dyDescent="0.3">
      <c r="A68" s="5">
        <v>43983</v>
      </c>
      <c r="B68">
        <v>1.0404685835995739</v>
      </c>
      <c r="C68">
        <v>1.0170697012802279</v>
      </c>
      <c r="D68">
        <v>1.042553191489362</v>
      </c>
      <c r="E68">
        <v>1.008629989212513</v>
      </c>
      <c r="F68" s="16">
        <f t="shared" si="15"/>
        <v>1.194998301838829</v>
      </c>
      <c r="G68" s="16">
        <f t="shared" si="16"/>
        <v>1.2318541125912588</v>
      </c>
      <c r="H68" s="16">
        <f t="shared" si="17"/>
        <v>1.3236990680077614</v>
      </c>
      <c r="I68" s="16">
        <f t="shared" si="18"/>
        <v>1.161547196013988</v>
      </c>
      <c r="J68" s="16">
        <f t="shared" si="19"/>
        <v>1.1332978629258796</v>
      </c>
      <c r="K68" s="16">
        <f t="shared" si="20"/>
        <v>1.2395968362878029</v>
      </c>
      <c r="L68" s="16">
        <f t="shared" si="21"/>
        <v>1.4280031185669513</v>
      </c>
      <c r="M68">
        <v>0.92857142857142871</v>
      </c>
      <c r="N68">
        <v>0.91501798561151082</v>
      </c>
      <c r="P68">
        <v>1.026584867075665</v>
      </c>
      <c r="Q68">
        <v>1.006681514476615</v>
      </c>
      <c r="R68">
        <v>0.94732165550661518</v>
      </c>
      <c r="S68" s="3">
        <v>155.69999999999999</v>
      </c>
      <c r="T68" s="3">
        <v>97.5</v>
      </c>
      <c r="U68" s="3">
        <v>97.5</v>
      </c>
      <c r="V68" s="3">
        <v>103.3</v>
      </c>
      <c r="W68" s="2">
        <v>134</v>
      </c>
      <c r="X68" s="2">
        <v>150.6</v>
      </c>
      <c r="Y68">
        <f t="shared" si="10"/>
        <v>0.94844357976653704</v>
      </c>
      <c r="Z68">
        <f t="shared" si="11"/>
        <v>0.94844357976653704</v>
      </c>
      <c r="AA68">
        <f t="shared" si="12"/>
        <v>0.94857667584940308</v>
      </c>
      <c r="AB68">
        <f t="shared" si="13"/>
        <v>1.1806167400881058</v>
      </c>
      <c r="AC68">
        <f t="shared" si="14"/>
        <v>1.0357634112792296</v>
      </c>
    </row>
    <row r="69" spans="1:29" x14ac:dyDescent="0.3">
      <c r="A69" s="5">
        <v>44013</v>
      </c>
      <c r="B69">
        <v>1.0362087326943561</v>
      </c>
      <c r="C69">
        <v>1.005689900426743</v>
      </c>
      <c r="D69">
        <v>1.042553191489362</v>
      </c>
      <c r="E69">
        <v>1.005393743257821</v>
      </c>
      <c r="F69" s="16">
        <f t="shared" ref="F69:F99" si="22">VLOOKUP(YEAR($A69),_HOUT_INDEX_TAB,COLUMN(A67)+1,FALSE)+(VLOOKUP(YEAR($A69)+1,_HOUT_INDEX_TAB,COLUMN(A67)+1,FALSE)-VLOOKUP(YEAR($A69),_HOUT_INDEX_TAB,COLUMN(A67)+1,FALSE))*((MONTH($A69)-1)/12)</f>
        <v>1.2299072356776355</v>
      </c>
      <c r="G69" s="16">
        <f t="shared" ref="G69:G99" si="23">VLOOKUP(YEAR($A69),_HOUT_INDEX_TAB,COLUMN(B67)+1,FALSE)+(VLOOKUP(YEAR($A69)+1,_HOUT_INDEX_TAB,COLUMN(B67)+1,FALSE)-VLOOKUP(YEAR($A69),_HOUT_INDEX_TAB,COLUMN(B67)+1,FALSE))*((MONTH($A69)-1)/12)</f>
        <v>1.2789377190109918</v>
      </c>
      <c r="H69" s="16">
        <f t="shared" ref="H69:H99" si="24">VLOOKUP(YEAR($A69),_HOUT_INDEX_TAB,COLUMN(C67)+1,FALSE)+(VLOOKUP(YEAR($A69)+1,_HOUT_INDEX_TAB,COLUMN(C67)+1,FALSE)-VLOOKUP(YEAR($A69),_HOUT_INDEX_TAB,COLUMN(C67)+1,FALSE))*((MONTH($A69)-1)/12)</f>
        <v>1.3831419979786124</v>
      </c>
      <c r="I69" s="16">
        <f t="shared" ref="I69:I99" si="25">VLOOKUP(YEAR($A69),_HOUT_INDEX_TAB,COLUMN(D67)+1,FALSE)+(VLOOKUP(YEAR($A69)+1,_HOUT_INDEX_TAB,COLUMN(D67)+1,FALSE)-VLOOKUP(YEAR($A69),_HOUT_INDEX_TAB,COLUMN(D67)+1,FALSE))*((MONTH($A69)-1)/12)</f>
        <v>1.1805286034906466</v>
      </c>
      <c r="J69" s="16">
        <f t="shared" ref="J69:J99" si="26">VLOOKUP(YEAR($A69),_HOUT_INDEX_TAB,COLUMN(E67)+1,FALSE)+(VLOOKUP(YEAR($A69)+1,_HOUT_INDEX_TAB,COLUMN(E67)+1,FALSE)-VLOOKUP(YEAR($A69),_HOUT_INDEX_TAB,COLUMN(E67)+1,FALSE))*((MONTH($A69)-1)/12)</f>
        <v>1.1478991707006565</v>
      </c>
      <c r="K69" s="16">
        <f t="shared" ref="K69:K99" si="27">VLOOKUP(YEAR($A69),_HOUT_INDEX_TAB,COLUMN(F67)+1,FALSE)+(VLOOKUP(YEAR($A69)+1,_HOUT_INDEX_TAB,COLUMN(F67)+1,FALSE)-VLOOKUP(YEAR($A69),_HOUT_INDEX_TAB,COLUMN(F67)+1,FALSE))*((MONTH($A69)-1)/12)</f>
        <v>1.261507123309225</v>
      </c>
      <c r="L69" s="16">
        <f t="shared" ref="L69:L99" si="28">VLOOKUP(YEAR($A69),_HOUT_INDEX_TAB,COLUMN(G67)+1,FALSE)+(VLOOKUP(YEAR($A69)+1,_HOUT_INDEX_TAB,COLUMN(G67)+1,FALSE)-VLOOKUP(YEAR($A69),_HOUT_INDEX_TAB,COLUMN(G67)+1,FALSE))*((MONTH($A69)-1)/12)</f>
        <v>1.4569952672874251</v>
      </c>
      <c r="M69">
        <v>0.921875</v>
      </c>
      <c r="N69">
        <v>0.90332733812949639</v>
      </c>
      <c r="P69">
        <v>1.026584867075665</v>
      </c>
      <c r="Q69">
        <v>1.017430037765082</v>
      </c>
      <c r="R69">
        <v>0.92651510440315543</v>
      </c>
      <c r="S69" s="3">
        <v>155.19999999999999</v>
      </c>
      <c r="T69" s="3">
        <v>99.2</v>
      </c>
      <c r="U69" s="3">
        <v>99.2</v>
      </c>
      <c r="V69" s="3">
        <v>103.4</v>
      </c>
      <c r="W69" s="2">
        <v>136.19999999999999</v>
      </c>
      <c r="X69" s="2">
        <v>150.6</v>
      </c>
      <c r="Y69">
        <f t="shared" ref="Y69:Y130" si="29">T69/T$4</f>
        <v>0.96498054474708173</v>
      </c>
      <c r="Z69">
        <f t="shared" ref="Z69:Z130" si="30">U69/U$4</f>
        <v>0.96498054474708173</v>
      </c>
      <c r="AA69">
        <f t="shared" ref="AA69:AA130" si="31">V69/V$4</f>
        <v>0.9494949494949495</v>
      </c>
      <c r="AB69">
        <f t="shared" ref="AB69:AB130" si="32">W69/W$4</f>
        <v>1.2</v>
      </c>
      <c r="AC69">
        <f t="shared" ref="AC69:AC130" si="33">X69/X$4</f>
        <v>1.0357634112792296</v>
      </c>
    </row>
    <row r="70" spans="1:29" x14ac:dyDescent="0.3">
      <c r="A70" s="5">
        <v>44044</v>
      </c>
      <c r="B70">
        <v>1.0372736954206601</v>
      </c>
      <c r="C70">
        <v>1.001422475106686</v>
      </c>
      <c r="D70">
        <v>1.0436170212765961</v>
      </c>
      <c r="E70">
        <v>1.005393743257821</v>
      </c>
      <c r="F70" s="16">
        <f t="shared" si="22"/>
        <v>1.2648161695164419</v>
      </c>
      <c r="G70" s="16">
        <f t="shared" si="23"/>
        <v>1.3260213254307249</v>
      </c>
      <c r="H70" s="16">
        <f t="shared" si="24"/>
        <v>1.4425849279494636</v>
      </c>
      <c r="I70" s="16">
        <f t="shared" si="25"/>
        <v>1.1995100109673049</v>
      </c>
      <c r="J70" s="16">
        <f t="shared" si="26"/>
        <v>1.1625004784754336</v>
      </c>
      <c r="K70" s="16">
        <f t="shared" si="27"/>
        <v>1.2834174103306473</v>
      </c>
      <c r="L70" s="16">
        <f t="shared" si="28"/>
        <v>1.4859874160078992</v>
      </c>
      <c r="M70">
        <v>0.92299107142857151</v>
      </c>
      <c r="N70">
        <v>0.90107913669064743</v>
      </c>
      <c r="P70">
        <v>0.9475119291070212</v>
      </c>
      <c r="Q70">
        <v>1.039346696362287</v>
      </c>
      <c r="R70">
        <v>0.82858439180299237</v>
      </c>
      <c r="S70" s="3">
        <v>155.19999999999999</v>
      </c>
      <c r="T70" s="3">
        <v>98.4</v>
      </c>
      <c r="U70" s="3">
        <v>98.4</v>
      </c>
      <c r="V70" s="3">
        <v>105</v>
      </c>
      <c r="W70" s="2">
        <v>134.5</v>
      </c>
      <c r="X70" s="2">
        <v>139</v>
      </c>
      <c r="Y70">
        <f t="shared" si="29"/>
        <v>0.95719844357976658</v>
      </c>
      <c r="Z70">
        <f t="shared" si="30"/>
        <v>0.95719844357976658</v>
      </c>
      <c r="AA70">
        <f t="shared" si="31"/>
        <v>0.96418732782369143</v>
      </c>
      <c r="AB70">
        <f t="shared" si="32"/>
        <v>1.1850220264317182</v>
      </c>
      <c r="AC70">
        <f t="shared" si="33"/>
        <v>0.95598349381017877</v>
      </c>
    </row>
    <row r="71" spans="1:29" x14ac:dyDescent="0.3">
      <c r="A71" s="5">
        <v>44075</v>
      </c>
      <c r="B71">
        <v>1.0372736954206601</v>
      </c>
      <c r="C71">
        <v>1.004267425320057</v>
      </c>
      <c r="D71">
        <v>1.05</v>
      </c>
      <c r="E71">
        <v>1.006472491909385</v>
      </c>
      <c r="F71" s="16">
        <f t="shared" si="22"/>
        <v>1.2997251033552484</v>
      </c>
      <c r="G71" s="16">
        <f t="shared" si="23"/>
        <v>1.3731049318504582</v>
      </c>
      <c r="H71" s="16">
        <f t="shared" si="24"/>
        <v>1.5020278579203146</v>
      </c>
      <c r="I71" s="16">
        <f t="shared" si="25"/>
        <v>1.2184914184439632</v>
      </c>
      <c r="J71" s="16">
        <f t="shared" si="26"/>
        <v>1.1771017862502107</v>
      </c>
      <c r="K71" s="16">
        <f t="shared" si="27"/>
        <v>1.3053276973520693</v>
      </c>
      <c r="L71" s="16">
        <f t="shared" si="28"/>
        <v>1.514979564728373</v>
      </c>
      <c r="M71">
        <v>0.92857142857142871</v>
      </c>
      <c r="N71">
        <v>0.92266187050359705</v>
      </c>
      <c r="P71">
        <v>0.94137695978186775</v>
      </c>
      <c r="Q71">
        <v>1.0514274144563669</v>
      </c>
      <c r="R71">
        <v>0.75077773680323479</v>
      </c>
      <c r="S71" s="3">
        <v>155.19999999999999</v>
      </c>
      <c r="T71" s="3">
        <v>100.8</v>
      </c>
      <c r="U71" s="3">
        <v>100.8</v>
      </c>
      <c r="V71" s="3">
        <v>107.4</v>
      </c>
      <c r="W71" s="2">
        <v>135</v>
      </c>
      <c r="X71" s="2">
        <v>138.1</v>
      </c>
      <c r="Y71">
        <f t="shared" si="29"/>
        <v>0.98054474708171202</v>
      </c>
      <c r="Z71">
        <f t="shared" si="30"/>
        <v>0.98054474708171202</v>
      </c>
      <c r="AA71">
        <f t="shared" si="31"/>
        <v>0.98622589531680438</v>
      </c>
      <c r="AB71">
        <f t="shared" si="32"/>
        <v>1.1894273127753303</v>
      </c>
      <c r="AC71">
        <f t="shared" si="33"/>
        <v>0.94979367262723513</v>
      </c>
    </row>
    <row r="72" spans="1:29" x14ac:dyDescent="0.3">
      <c r="A72" s="5">
        <v>44105</v>
      </c>
      <c r="B72">
        <v>1.0372736954206601</v>
      </c>
      <c r="C72">
        <v>1.0128022759601709</v>
      </c>
      <c r="D72">
        <v>1.05</v>
      </c>
      <c r="E72">
        <v>1.007551240560949</v>
      </c>
      <c r="F72" s="16">
        <f t="shared" si="22"/>
        <v>1.3346340371940548</v>
      </c>
      <c r="G72" s="16">
        <f t="shared" si="23"/>
        <v>1.4201885382701913</v>
      </c>
      <c r="H72" s="16">
        <f t="shared" si="24"/>
        <v>1.5614707878911656</v>
      </c>
      <c r="I72" s="16">
        <f t="shared" si="25"/>
        <v>1.2374728259206216</v>
      </c>
      <c r="J72" s="16">
        <f t="shared" si="26"/>
        <v>1.1917030940249878</v>
      </c>
      <c r="K72" s="16">
        <f t="shared" si="27"/>
        <v>1.3272379843734914</v>
      </c>
      <c r="L72" s="16">
        <f t="shared" si="28"/>
        <v>1.5439717134488469</v>
      </c>
      <c r="M72">
        <v>0.93526785714285721</v>
      </c>
      <c r="N72">
        <v>0.93255395683453235</v>
      </c>
      <c r="P72">
        <v>0.87525562372188148</v>
      </c>
      <c r="Q72">
        <v>1.1108523992711079</v>
      </c>
      <c r="R72">
        <v>0.96534149530035884</v>
      </c>
      <c r="S72" s="3">
        <v>155.30000000000001</v>
      </c>
      <c r="T72" s="3">
        <v>101.9</v>
      </c>
      <c r="U72" s="3">
        <v>101.9</v>
      </c>
      <c r="V72" s="3">
        <v>122</v>
      </c>
      <c r="W72" s="2">
        <v>135</v>
      </c>
      <c r="X72" s="2">
        <v>128.4</v>
      </c>
      <c r="Y72">
        <f t="shared" si="29"/>
        <v>0.99124513618677046</v>
      </c>
      <c r="Z72">
        <f t="shared" si="30"/>
        <v>0.99124513618677046</v>
      </c>
      <c r="AA72">
        <f t="shared" si="31"/>
        <v>1.1202938475665747</v>
      </c>
      <c r="AB72">
        <f t="shared" si="32"/>
        <v>1.1894273127753303</v>
      </c>
      <c r="AC72">
        <f t="shared" si="33"/>
        <v>0.88308115543328747</v>
      </c>
    </row>
    <row r="73" spans="1:29" x14ac:dyDescent="0.3">
      <c r="A73" s="5">
        <v>44136</v>
      </c>
      <c r="B73">
        <v>1.0362087326943561</v>
      </c>
      <c r="C73">
        <v>1.02275960170697</v>
      </c>
      <c r="D73">
        <v>1.0478723404255319</v>
      </c>
      <c r="E73">
        <v>1.007551240560949</v>
      </c>
      <c r="F73" s="16">
        <f t="shared" si="22"/>
        <v>1.3695429710328613</v>
      </c>
      <c r="G73" s="16">
        <f t="shared" si="23"/>
        <v>1.4672721446899244</v>
      </c>
      <c r="H73" s="16">
        <f t="shared" si="24"/>
        <v>1.6209137178620168</v>
      </c>
      <c r="I73" s="16">
        <f t="shared" si="25"/>
        <v>1.2564542333972799</v>
      </c>
      <c r="J73" s="16">
        <f t="shared" si="26"/>
        <v>1.2063044017997648</v>
      </c>
      <c r="K73" s="16">
        <f t="shared" si="27"/>
        <v>1.3491482713949134</v>
      </c>
      <c r="L73" s="16">
        <f t="shared" si="28"/>
        <v>1.5729638621693207</v>
      </c>
      <c r="M73">
        <v>0.94754464285714302</v>
      </c>
      <c r="N73">
        <v>0.94919064748201432</v>
      </c>
      <c r="P73">
        <v>0.86639400136332656</v>
      </c>
      <c r="Q73">
        <v>1.154028352246615</v>
      </c>
      <c r="R73">
        <v>1.044940424997431</v>
      </c>
      <c r="S73" s="3">
        <v>156.30000000000001</v>
      </c>
      <c r="T73" s="3">
        <v>101.3</v>
      </c>
      <c r="U73" s="3">
        <v>101.3</v>
      </c>
      <c r="V73" s="3">
        <v>122.5</v>
      </c>
      <c r="W73" s="2">
        <v>135</v>
      </c>
      <c r="X73" s="2">
        <v>127.1</v>
      </c>
      <c r="Y73">
        <f t="shared" si="29"/>
        <v>0.9854085603112841</v>
      </c>
      <c r="Z73">
        <f t="shared" si="30"/>
        <v>0.9854085603112841</v>
      </c>
      <c r="AA73">
        <f t="shared" si="31"/>
        <v>1.1248852157943066</v>
      </c>
      <c r="AB73">
        <f t="shared" si="32"/>
        <v>1.1894273127753303</v>
      </c>
      <c r="AC73">
        <f t="shared" si="33"/>
        <v>0.87414030261347997</v>
      </c>
    </row>
    <row r="74" spans="1:29" x14ac:dyDescent="0.3">
      <c r="A74" s="5">
        <v>44166</v>
      </c>
      <c r="B74">
        <v>1.0362087326943561</v>
      </c>
      <c r="C74">
        <v>1.041251778093883</v>
      </c>
      <c r="D74">
        <v>1.0478723404255319</v>
      </c>
      <c r="E74">
        <v>1.007551240560949</v>
      </c>
      <c r="F74" s="16">
        <f t="shared" si="22"/>
        <v>1.4044519048716675</v>
      </c>
      <c r="G74" s="16">
        <f t="shared" si="23"/>
        <v>1.5143557511096577</v>
      </c>
      <c r="H74" s="16">
        <f t="shared" si="24"/>
        <v>1.6803566478328675</v>
      </c>
      <c r="I74" s="16">
        <f t="shared" si="25"/>
        <v>1.2754356408739385</v>
      </c>
      <c r="J74" s="16">
        <f t="shared" si="26"/>
        <v>1.2209057095745419</v>
      </c>
      <c r="K74" s="16">
        <f t="shared" si="27"/>
        <v>1.3710585584163355</v>
      </c>
      <c r="L74" s="16">
        <f t="shared" si="28"/>
        <v>1.6019560108897946</v>
      </c>
      <c r="M74">
        <v>0.96205357142857151</v>
      </c>
      <c r="N74">
        <v>1.037320143884892</v>
      </c>
      <c r="P74">
        <v>0.85685071574642135</v>
      </c>
      <c r="Q74">
        <v>1.202990773146676</v>
      </c>
      <c r="R74">
        <v>1.0832886680075331</v>
      </c>
      <c r="S74" s="3">
        <v>157.30000000000001</v>
      </c>
      <c r="T74" s="3">
        <v>104.1</v>
      </c>
      <c r="U74" s="3">
        <v>104.1</v>
      </c>
      <c r="V74" s="3">
        <v>115.3</v>
      </c>
      <c r="W74" s="2">
        <v>134.9</v>
      </c>
      <c r="X74" s="2">
        <v>125.7</v>
      </c>
      <c r="Y74">
        <f t="shared" si="29"/>
        <v>1.0126459143968871</v>
      </c>
      <c r="Z74">
        <f t="shared" si="30"/>
        <v>1.0126459143968871</v>
      </c>
      <c r="AA74">
        <f t="shared" si="31"/>
        <v>1.0587695133149677</v>
      </c>
      <c r="AB74">
        <f t="shared" si="32"/>
        <v>1.188546255506608</v>
      </c>
      <c r="AC74">
        <f t="shared" si="33"/>
        <v>0.86451169188445665</v>
      </c>
    </row>
    <row r="75" spans="1:29" x14ac:dyDescent="0.3">
      <c r="A75" s="5">
        <v>44197</v>
      </c>
      <c r="B75">
        <v>1.0383386581469649</v>
      </c>
      <c r="C75">
        <v>1.1038406827880509</v>
      </c>
      <c r="D75">
        <v>1.0478723404255319</v>
      </c>
      <c r="E75">
        <v>1.0140237324703341</v>
      </c>
      <c r="F75" s="16">
        <f t="shared" si="22"/>
        <v>1.4393608387104739</v>
      </c>
      <c r="G75" s="16">
        <f t="shared" si="23"/>
        <v>1.5614393575293908</v>
      </c>
      <c r="H75" s="16">
        <f t="shared" si="24"/>
        <v>1.7397995778037187</v>
      </c>
      <c r="I75" s="16">
        <f t="shared" si="25"/>
        <v>1.2944170483505968</v>
      </c>
      <c r="J75" s="16">
        <f t="shared" si="26"/>
        <v>1.235507017349319</v>
      </c>
      <c r="K75" s="16">
        <f t="shared" si="27"/>
        <v>1.3929688454377576</v>
      </c>
      <c r="L75" s="16">
        <f t="shared" si="28"/>
        <v>1.6309481596102684</v>
      </c>
      <c r="M75">
        <v>0.97656250000000011</v>
      </c>
      <c r="N75">
        <v>1.127697841726619</v>
      </c>
      <c r="P75">
        <v>0.85685071574642135</v>
      </c>
      <c r="Q75">
        <v>1.29524870081663</v>
      </c>
      <c r="R75">
        <v>1.141391772395201</v>
      </c>
      <c r="S75" s="3">
        <v>158.9</v>
      </c>
      <c r="T75" s="3">
        <v>104.3</v>
      </c>
      <c r="U75" s="3">
        <v>104.3</v>
      </c>
      <c r="V75" s="3">
        <v>118.2</v>
      </c>
      <c r="W75" s="2">
        <v>135.19999999999999</v>
      </c>
      <c r="X75" s="2">
        <v>125.7</v>
      </c>
      <c r="Y75">
        <f t="shared" si="29"/>
        <v>1.0145914396887159</v>
      </c>
      <c r="Z75">
        <f t="shared" si="30"/>
        <v>1.0145914396887159</v>
      </c>
      <c r="AA75">
        <f t="shared" si="31"/>
        <v>1.0853994490358125</v>
      </c>
      <c r="AB75">
        <f t="shared" si="32"/>
        <v>1.1911894273127752</v>
      </c>
      <c r="AC75">
        <f t="shared" si="33"/>
        <v>0.86451169188445665</v>
      </c>
    </row>
    <row r="76" spans="1:29" x14ac:dyDescent="0.3">
      <c r="A76" s="5">
        <v>44228</v>
      </c>
      <c r="B76">
        <v>1.0404685835995739</v>
      </c>
      <c r="C76">
        <v>1.1564722617354199</v>
      </c>
      <c r="D76">
        <v>1.048936170212766</v>
      </c>
      <c r="E76">
        <v>1.02049622437972</v>
      </c>
      <c r="F76" s="16">
        <f t="shared" si="22"/>
        <v>1.4188873503406267</v>
      </c>
      <c r="G76" s="16">
        <f t="shared" si="23"/>
        <v>1.5355493038088102</v>
      </c>
      <c r="H76" s="16">
        <f t="shared" si="24"/>
        <v>1.7065301996993387</v>
      </c>
      <c r="I76" s="16">
        <f t="shared" si="25"/>
        <v>1.2778442155016831</v>
      </c>
      <c r="J76" s="16">
        <f t="shared" si="26"/>
        <v>1.2227782904721096</v>
      </c>
      <c r="K76" s="16">
        <f t="shared" si="27"/>
        <v>1.3787395895666004</v>
      </c>
      <c r="L76" s="16">
        <f t="shared" si="28"/>
        <v>1.6127849133478209</v>
      </c>
      <c r="M76">
        <v>0.9888392857142857</v>
      </c>
      <c r="N76">
        <v>1.1713129496402881</v>
      </c>
      <c r="P76">
        <v>0.86162235855487401</v>
      </c>
      <c r="Q76">
        <v>1.3772828507795101</v>
      </c>
      <c r="R76">
        <v>1.2671051913908919</v>
      </c>
      <c r="S76" s="3">
        <v>161</v>
      </c>
      <c r="T76" s="3">
        <v>105.7</v>
      </c>
      <c r="U76" s="3">
        <v>105.7</v>
      </c>
      <c r="V76" s="3">
        <v>120.2</v>
      </c>
      <c r="W76" s="2">
        <v>136.9</v>
      </c>
      <c r="X76" s="2">
        <v>126.4</v>
      </c>
      <c r="Y76">
        <f t="shared" si="29"/>
        <v>1.0282101167315176</v>
      </c>
      <c r="Z76">
        <f t="shared" si="30"/>
        <v>1.0282101167315176</v>
      </c>
      <c r="AA76">
        <f t="shared" si="31"/>
        <v>1.10376492194674</v>
      </c>
      <c r="AB76">
        <f t="shared" si="32"/>
        <v>1.2061674008810572</v>
      </c>
      <c r="AC76">
        <f t="shared" si="33"/>
        <v>0.86932599724896842</v>
      </c>
    </row>
    <row r="77" spans="1:29" x14ac:dyDescent="0.3">
      <c r="A77" s="5">
        <v>44256</v>
      </c>
      <c r="B77">
        <v>1.0436634717784881</v>
      </c>
      <c r="C77">
        <v>1.197724039829303</v>
      </c>
      <c r="D77">
        <v>1.0542553191489361</v>
      </c>
      <c r="E77">
        <v>1.0334412081984901</v>
      </c>
      <c r="F77" s="16">
        <f t="shared" si="22"/>
        <v>1.3984138619707795</v>
      </c>
      <c r="G77" s="16">
        <f t="shared" si="23"/>
        <v>1.5096592500882293</v>
      </c>
      <c r="H77" s="16">
        <f t="shared" si="24"/>
        <v>1.6732608215949587</v>
      </c>
      <c r="I77" s="16">
        <f t="shared" si="25"/>
        <v>1.2612713826527693</v>
      </c>
      <c r="J77" s="16">
        <f t="shared" si="26"/>
        <v>1.2100495635949002</v>
      </c>
      <c r="K77" s="16">
        <f t="shared" si="27"/>
        <v>1.3645103336954429</v>
      </c>
      <c r="L77" s="16">
        <f t="shared" si="28"/>
        <v>1.5946216670853735</v>
      </c>
      <c r="M77">
        <v>1.010044642857143</v>
      </c>
      <c r="N77">
        <v>1.3138489208633091</v>
      </c>
      <c r="P77">
        <v>0.84798909338786654</v>
      </c>
      <c r="Q77">
        <v>1.3578644975953009</v>
      </c>
      <c r="R77">
        <v>1.263444998996089</v>
      </c>
      <c r="S77" s="3">
        <v>162.80000000000001</v>
      </c>
      <c r="T77" s="3">
        <v>109.4</v>
      </c>
      <c r="U77" s="3">
        <v>109.4</v>
      </c>
      <c r="V77" s="3">
        <v>124.7</v>
      </c>
      <c r="W77" s="2">
        <v>137.1</v>
      </c>
      <c r="X77" s="2">
        <v>124.4</v>
      </c>
      <c r="Y77">
        <f t="shared" si="29"/>
        <v>1.0642023346303502</v>
      </c>
      <c r="Z77">
        <f t="shared" si="30"/>
        <v>1.0642023346303502</v>
      </c>
      <c r="AA77">
        <f t="shared" si="31"/>
        <v>1.1450872359963269</v>
      </c>
      <c r="AB77">
        <f t="shared" si="32"/>
        <v>1.2079295154185021</v>
      </c>
      <c r="AC77">
        <f t="shared" si="33"/>
        <v>0.85557083906464926</v>
      </c>
    </row>
    <row r="78" spans="1:29" x14ac:dyDescent="0.3">
      <c r="A78" s="5">
        <v>44287</v>
      </c>
      <c r="B78">
        <v>1.050053248136315</v>
      </c>
      <c r="C78">
        <v>1.2574679943100999</v>
      </c>
      <c r="D78">
        <v>1.056382978723404</v>
      </c>
      <c r="E78">
        <v>1.0539374325782089</v>
      </c>
      <c r="F78" s="16">
        <f t="shared" si="22"/>
        <v>1.3779403736009324</v>
      </c>
      <c r="G78" s="16">
        <f t="shared" si="23"/>
        <v>1.4837691963676487</v>
      </c>
      <c r="H78" s="16">
        <f t="shared" si="24"/>
        <v>1.6399914434905785</v>
      </c>
      <c r="I78" s="16">
        <f t="shared" si="25"/>
        <v>1.2446985498038554</v>
      </c>
      <c r="J78" s="16">
        <f t="shared" si="26"/>
        <v>1.1973208367176909</v>
      </c>
      <c r="K78" s="16">
        <f t="shared" si="27"/>
        <v>1.3502810778242857</v>
      </c>
      <c r="L78" s="16">
        <f t="shared" si="28"/>
        <v>1.576458420822926</v>
      </c>
      <c r="M78">
        <v>1.037946428571429</v>
      </c>
      <c r="N78">
        <v>1.4446942446043169</v>
      </c>
      <c r="P78">
        <v>0.85821404226312215</v>
      </c>
      <c r="Q78">
        <v>1.3471417965850041</v>
      </c>
      <c r="R78">
        <v>1.2660075595714959</v>
      </c>
      <c r="S78" s="3">
        <v>167.5</v>
      </c>
      <c r="T78" s="3">
        <v>113.4</v>
      </c>
      <c r="U78" s="3">
        <v>113.4</v>
      </c>
      <c r="V78" s="3">
        <v>138.4</v>
      </c>
      <c r="W78" s="2">
        <v>136.5</v>
      </c>
      <c r="X78" s="2">
        <v>125.9</v>
      </c>
      <c r="Y78">
        <f t="shared" si="29"/>
        <v>1.1031128404669261</v>
      </c>
      <c r="Z78">
        <f t="shared" si="30"/>
        <v>1.1031128404669261</v>
      </c>
      <c r="AA78">
        <f t="shared" si="31"/>
        <v>1.2708907254361799</v>
      </c>
      <c r="AB78">
        <f t="shared" si="32"/>
        <v>1.2026431718061674</v>
      </c>
      <c r="AC78">
        <f t="shared" si="33"/>
        <v>0.86588720770288863</v>
      </c>
    </row>
    <row r="79" spans="1:29" x14ac:dyDescent="0.3">
      <c r="A79" s="5">
        <v>44317</v>
      </c>
      <c r="B79">
        <v>1.054313099041533</v>
      </c>
      <c r="C79">
        <v>1.318634423897582</v>
      </c>
      <c r="D79">
        <v>1.056382978723404</v>
      </c>
      <c r="E79">
        <v>1.0690399137001081</v>
      </c>
      <c r="F79" s="16">
        <f t="shared" si="22"/>
        <v>1.3574668852310852</v>
      </c>
      <c r="G79" s="16">
        <f t="shared" si="23"/>
        <v>1.4578791426470681</v>
      </c>
      <c r="H79" s="16">
        <f t="shared" si="24"/>
        <v>1.6067220653861984</v>
      </c>
      <c r="I79" s="16">
        <f t="shared" si="25"/>
        <v>1.2281257169549418</v>
      </c>
      <c r="J79" s="16">
        <f t="shared" si="26"/>
        <v>1.1845921098404815</v>
      </c>
      <c r="K79" s="16">
        <f t="shared" si="27"/>
        <v>1.3360518219531285</v>
      </c>
      <c r="L79" s="16">
        <f t="shared" si="28"/>
        <v>1.5582951745604785</v>
      </c>
      <c r="M79">
        <v>1.060267857142857</v>
      </c>
      <c r="N79">
        <v>1.4955035971223021</v>
      </c>
      <c r="P79">
        <v>1.01840490797546</v>
      </c>
      <c r="Q79">
        <v>1.3494705583558011</v>
      </c>
      <c r="R79">
        <v>1.300288849920491</v>
      </c>
      <c r="S79" s="3">
        <v>169</v>
      </c>
      <c r="T79" s="3">
        <v>117.3</v>
      </c>
      <c r="U79" s="3">
        <v>117.3</v>
      </c>
      <c r="V79" s="3">
        <v>142.1</v>
      </c>
      <c r="W79" s="2">
        <v>138.5</v>
      </c>
      <c r="X79" s="2">
        <v>149.4</v>
      </c>
      <c r="Y79">
        <f t="shared" si="29"/>
        <v>1.1410505836575875</v>
      </c>
      <c r="Z79">
        <f t="shared" si="30"/>
        <v>1.1410505836575875</v>
      </c>
      <c r="AA79">
        <f t="shared" si="31"/>
        <v>1.3048668503213956</v>
      </c>
      <c r="AB79">
        <f t="shared" si="32"/>
        <v>1.2202643171806167</v>
      </c>
      <c r="AC79">
        <f t="shared" si="33"/>
        <v>1.0275103163686383</v>
      </c>
    </row>
    <row r="80" spans="1:29" x14ac:dyDescent="0.3">
      <c r="A80" s="5">
        <v>44348</v>
      </c>
      <c r="B80">
        <v>1.059637912673056</v>
      </c>
      <c r="C80">
        <v>1.395448079658606</v>
      </c>
      <c r="D80">
        <v>1.0574468085106381</v>
      </c>
      <c r="E80">
        <v>1.07982740021575</v>
      </c>
      <c r="F80" s="16">
        <f t="shared" si="22"/>
        <v>1.336993396861238</v>
      </c>
      <c r="G80" s="16">
        <f t="shared" si="23"/>
        <v>1.4319890889264875</v>
      </c>
      <c r="H80" s="16">
        <f t="shared" si="24"/>
        <v>1.5734526872818184</v>
      </c>
      <c r="I80" s="16">
        <f t="shared" si="25"/>
        <v>1.2115528841060281</v>
      </c>
      <c r="J80" s="16">
        <f t="shared" si="26"/>
        <v>1.1718633829632721</v>
      </c>
      <c r="K80" s="16">
        <f t="shared" si="27"/>
        <v>1.3218225660819714</v>
      </c>
      <c r="L80" s="16">
        <f t="shared" si="28"/>
        <v>1.540131928298031</v>
      </c>
      <c r="M80">
        <v>1.081473214285714</v>
      </c>
      <c r="N80">
        <v>1.5957733812949639</v>
      </c>
      <c r="P80">
        <v>1.086571233810498</v>
      </c>
      <c r="Q80">
        <v>1.4031855301343059</v>
      </c>
      <c r="R80">
        <v>1.383843409091887</v>
      </c>
      <c r="S80" s="3">
        <v>169.6</v>
      </c>
      <c r="T80" s="3">
        <v>122.4</v>
      </c>
      <c r="U80" s="3">
        <v>122.4</v>
      </c>
      <c r="V80" s="3">
        <v>152.9</v>
      </c>
      <c r="W80" s="2">
        <v>139.19999999999999</v>
      </c>
      <c r="X80" s="2">
        <v>159.4</v>
      </c>
      <c r="Y80">
        <f t="shared" si="29"/>
        <v>1.1906614785992218</v>
      </c>
      <c r="Z80">
        <f t="shared" si="30"/>
        <v>1.1906614785992218</v>
      </c>
      <c r="AA80">
        <f t="shared" si="31"/>
        <v>1.404040404040404</v>
      </c>
      <c r="AB80">
        <f t="shared" si="32"/>
        <v>1.2264317180616739</v>
      </c>
      <c r="AC80">
        <f t="shared" si="33"/>
        <v>1.0962861072902339</v>
      </c>
    </row>
    <row r="81" spans="1:29" x14ac:dyDescent="0.3">
      <c r="A81" s="5">
        <v>44378</v>
      </c>
      <c r="B81">
        <v>1.068157614483493</v>
      </c>
      <c r="C81">
        <v>1.4992887624466571</v>
      </c>
      <c r="D81">
        <v>1.068085106382979</v>
      </c>
      <c r="E81">
        <v>1.094929881337648</v>
      </c>
      <c r="F81" s="16">
        <f t="shared" si="22"/>
        <v>1.3165199084913906</v>
      </c>
      <c r="G81" s="16">
        <f t="shared" si="23"/>
        <v>1.4060990352059068</v>
      </c>
      <c r="H81" s="16">
        <f t="shared" si="24"/>
        <v>1.5401833091774382</v>
      </c>
      <c r="I81" s="16">
        <f t="shared" si="25"/>
        <v>1.1949800512571143</v>
      </c>
      <c r="J81" s="16">
        <f t="shared" si="26"/>
        <v>1.1591346560860627</v>
      </c>
      <c r="K81" s="16">
        <f t="shared" si="27"/>
        <v>1.3075933102108142</v>
      </c>
      <c r="L81" s="16">
        <f t="shared" si="28"/>
        <v>1.5219686820355838</v>
      </c>
      <c r="M81">
        <v>1.114955357142857</v>
      </c>
      <c r="N81">
        <v>1.7213174460431651</v>
      </c>
      <c r="P81">
        <v>1.1250852079072939</v>
      </c>
      <c r="Q81">
        <v>1.450631031922792</v>
      </c>
      <c r="R81">
        <v>1.353706437730247</v>
      </c>
      <c r="S81" s="3">
        <v>171.97499999999999</v>
      </c>
      <c r="T81" s="3">
        <v>125.006</v>
      </c>
      <c r="U81" s="3">
        <v>125.006</v>
      </c>
      <c r="V81" s="3">
        <v>176.75899999999999</v>
      </c>
      <c r="W81" s="2">
        <v>139.09299999999999</v>
      </c>
      <c r="X81" s="2">
        <v>165.05</v>
      </c>
      <c r="Y81">
        <f t="shared" si="29"/>
        <v>1.216011673151751</v>
      </c>
      <c r="Z81">
        <f t="shared" si="30"/>
        <v>1.216011673151751</v>
      </c>
      <c r="AA81">
        <f t="shared" si="31"/>
        <v>1.623131313131313</v>
      </c>
      <c r="AB81">
        <f t="shared" si="32"/>
        <v>1.225488986784141</v>
      </c>
      <c r="AC81">
        <f t="shared" si="33"/>
        <v>1.1351444291609354</v>
      </c>
    </row>
    <row r="82" spans="1:29" x14ac:dyDescent="0.3">
      <c r="A82" s="5">
        <v>44409</v>
      </c>
      <c r="B82">
        <v>1.0724174653887111</v>
      </c>
      <c r="C82">
        <v>1.581792318634424</v>
      </c>
      <c r="D82">
        <v>1.0691489361702129</v>
      </c>
      <c r="E82">
        <v>1.1014023732470331</v>
      </c>
      <c r="F82" s="16">
        <f t="shared" si="22"/>
        <v>1.2960464201215434</v>
      </c>
      <c r="G82" s="16">
        <f t="shared" si="23"/>
        <v>1.380208981485326</v>
      </c>
      <c r="H82" s="16">
        <f t="shared" si="24"/>
        <v>1.5069139310730582</v>
      </c>
      <c r="I82" s="16">
        <f t="shared" si="25"/>
        <v>1.1784072184082004</v>
      </c>
      <c r="J82" s="16">
        <f t="shared" si="26"/>
        <v>1.1464059292088531</v>
      </c>
      <c r="K82" s="16">
        <f t="shared" si="27"/>
        <v>1.2933640543396567</v>
      </c>
      <c r="L82" s="16">
        <f t="shared" si="28"/>
        <v>1.5038054357731361</v>
      </c>
      <c r="M82">
        <v>1.149553571428571</v>
      </c>
      <c r="N82">
        <v>1.7771223021582729</v>
      </c>
      <c r="P82">
        <v>1.1250852079072939</v>
      </c>
      <c r="Q82">
        <v>1.5041538515926061</v>
      </c>
      <c r="R82">
        <v>1.2601287640335861</v>
      </c>
      <c r="S82" s="3">
        <v>174.042</v>
      </c>
      <c r="T82" s="3">
        <v>127.554</v>
      </c>
      <c r="U82" s="3">
        <v>127.554</v>
      </c>
      <c r="V82" s="3">
        <v>191.44499999999999</v>
      </c>
      <c r="W82" s="2">
        <v>139.363</v>
      </c>
      <c r="X82" s="2">
        <v>165.05</v>
      </c>
      <c r="Y82">
        <f t="shared" si="29"/>
        <v>1.2407976653696497</v>
      </c>
      <c r="Z82">
        <f t="shared" si="30"/>
        <v>1.2407976653696497</v>
      </c>
      <c r="AA82">
        <f t="shared" si="31"/>
        <v>1.7579889807162532</v>
      </c>
      <c r="AB82">
        <f t="shared" si="32"/>
        <v>1.2278678414096915</v>
      </c>
      <c r="AC82">
        <f t="shared" si="33"/>
        <v>1.1351444291609354</v>
      </c>
    </row>
    <row r="83" spans="1:29" x14ac:dyDescent="0.3">
      <c r="A83" s="5">
        <v>44440</v>
      </c>
      <c r="B83">
        <v>1.077742279020234</v>
      </c>
      <c r="C83">
        <v>1.617354196301565</v>
      </c>
      <c r="D83">
        <v>1.076595744680851</v>
      </c>
      <c r="E83">
        <v>1.1067961165048541</v>
      </c>
      <c r="F83" s="16">
        <f t="shared" si="22"/>
        <v>1.2755729317516962</v>
      </c>
      <c r="G83" s="16">
        <f t="shared" si="23"/>
        <v>1.3543189277647454</v>
      </c>
      <c r="H83" s="16">
        <f t="shared" si="24"/>
        <v>1.4736445529686781</v>
      </c>
      <c r="I83" s="16">
        <f t="shared" si="25"/>
        <v>1.1618343855592868</v>
      </c>
      <c r="J83" s="16">
        <f t="shared" si="26"/>
        <v>1.1336772023316437</v>
      </c>
      <c r="K83" s="16">
        <f t="shared" si="27"/>
        <v>1.2791347984684995</v>
      </c>
      <c r="L83" s="16">
        <f t="shared" si="28"/>
        <v>1.4856421895106888</v>
      </c>
      <c r="M83">
        <v>1.1796875</v>
      </c>
      <c r="N83">
        <v>1.82402428057554</v>
      </c>
      <c r="P83">
        <v>1.133469665985003</v>
      </c>
      <c r="Q83">
        <v>1.539447931430111</v>
      </c>
      <c r="R83">
        <v>1.25462619491712</v>
      </c>
      <c r="S83" s="3">
        <v>175.316</v>
      </c>
      <c r="T83" s="3">
        <v>128.94399999999999</v>
      </c>
      <c r="U83" s="3">
        <v>128.94399999999999</v>
      </c>
      <c r="V83" s="3">
        <v>196.19499999999999</v>
      </c>
      <c r="W83" s="2">
        <v>140.19999999999999</v>
      </c>
      <c r="X83" s="2">
        <v>166.28</v>
      </c>
      <c r="Y83">
        <f t="shared" si="29"/>
        <v>1.2543190661478598</v>
      </c>
      <c r="Z83">
        <f t="shared" si="30"/>
        <v>1.2543190661478598</v>
      </c>
      <c r="AA83">
        <f t="shared" si="31"/>
        <v>1.801606978879706</v>
      </c>
      <c r="AB83">
        <f t="shared" si="32"/>
        <v>1.2352422907488987</v>
      </c>
      <c r="AC83">
        <f t="shared" si="33"/>
        <v>1.1436038514442917</v>
      </c>
    </row>
    <row r="84" spans="1:29" x14ac:dyDescent="0.3">
      <c r="A84" s="5">
        <v>44470</v>
      </c>
      <c r="B84">
        <v>1.085197018104366</v>
      </c>
      <c r="C84">
        <v>1.6287339971550501</v>
      </c>
      <c r="D84">
        <v>1.0755319148936171</v>
      </c>
      <c r="E84">
        <v>1.114347357065804</v>
      </c>
      <c r="F84" s="16">
        <f t="shared" si="22"/>
        <v>1.255099443381849</v>
      </c>
      <c r="G84" s="16">
        <f t="shared" si="23"/>
        <v>1.3284288740441648</v>
      </c>
      <c r="H84" s="16">
        <f t="shared" si="24"/>
        <v>1.4403751748642981</v>
      </c>
      <c r="I84" s="16">
        <f t="shared" si="25"/>
        <v>1.1452615527103731</v>
      </c>
      <c r="J84" s="16">
        <f t="shared" si="26"/>
        <v>1.1209484754544343</v>
      </c>
      <c r="K84" s="16">
        <f t="shared" si="27"/>
        <v>1.2649055425973423</v>
      </c>
      <c r="L84" s="16">
        <f t="shared" si="28"/>
        <v>1.4674789432482414</v>
      </c>
      <c r="M84">
        <v>1.238839285714286</v>
      </c>
      <c r="N84">
        <v>1.878830935251798</v>
      </c>
      <c r="P84">
        <v>1.1633537832310841</v>
      </c>
      <c r="Q84">
        <v>1.7428854243998959</v>
      </c>
      <c r="R84">
        <v>1.2688364348379739</v>
      </c>
      <c r="S84" s="3">
        <v>177.416</v>
      </c>
      <c r="T84" s="3">
        <v>128.565</v>
      </c>
      <c r="U84" s="3">
        <v>128.565</v>
      </c>
      <c r="V84" s="3">
        <v>206.59899999999999</v>
      </c>
      <c r="W84" s="2">
        <v>140.85400000000001</v>
      </c>
      <c r="X84" s="2">
        <v>170.66399999999999</v>
      </c>
      <c r="Y84">
        <f t="shared" si="29"/>
        <v>1.2506322957198444</v>
      </c>
      <c r="Z84">
        <f t="shared" si="30"/>
        <v>1.2506322957198444</v>
      </c>
      <c r="AA84">
        <f t="shared" si="31"/>
        <v>1.8971441689623505</v>
      </c>
      <c r="AB84">
        <f t="shared" si="32"/>
        <v>1.2410044052863438</v>
      </c>
      <c r="AC84">
        <f t="shared" si="33"/>
        <v>1.1737551581843191</v>
      </c>
    </row>
    <row r="85" spans="1:29" x14ac:dyDescent="0.3">
      <c r="A85" s="5">
        <v>44501</v>
      </c>
      <c r="B85">
        <v>1.0926517571884979</v>
      </c>
      <c r="C85">
        <v>1.6514935988620201</v>
      </c>
      <c r="D85">
        <v>1.0755319148936171</v>
      </c>
      <c r="E85">
        <v>1.1262135922330101</v>
      </c>
      <c r="F85" s="16">
        <f t="shared" si="22"/>
        <v>1.2346259550120018</v>
      </c>
      <c r="G85" s="16">
        <f t="shared" si="23"/>
        <v>1.3025388203235839</v>
      </c>
      <c r="H85" s="16">
        <f t="shared" si="24"/>
        <v>1.4071057967599181</v>
      </c>
      <c r="I85" s="16">
        <f t="shared" si="25"/>
        <v>1.1286887198614592</v>
      </c>
      <c r="J85" s="16">
        <f t="shared" si="26"/>
        <v>1.1082197485772249</v>
      </c>
      <c r="K85" s="16">
        <f t="shared" si="27"/>
        <v>1.2506762867261849</v>
      </c>
      <c r="L85" s="16">
        <f t="shared" si="28"/>
        <v>1.4493156969857939</v>
      </c>
      <c r="M85">
        <v>1.271205357142857</v>
      </c>
      <c r="N85">
        <v>1.9493030575539569</v>
      </c>
      <c r="P85">
        <v>1.161670074982958</v>
      </c>
      <c r="Q85">
        <v>1.8788891138557089</v>
      </c>
      <c r="R85">
        <v>1.2369559556729559</v>
      </c>
      <c r="S85" s="3">
        <v>178.58099999999999</v>
      </c>
      <c r="T85" s="3">
        <v>132.399</v>
      </c>
      <c r="U85" s="3">
        <v>132.399</v>
      </c>
      <c r="V85" s="3">
        <v>209.005</v>
      </c>
      <c r="W85" s="2">
        <v>141.45699999999999</v>
      </c>
      <c r="X85" s="2">
        <v>170.417</v>
      </c>
      <c r="Y85">
        <f t="shared" si="29"/>
        <v>1.2879280155642023</v>
      </c>
      <c r="Z85">
        <f t="shared" si="30"/>
        <v>1.2879280155642023</v>
      </c>
      <c r="AA85">
        <f t="shared" si="31"/>
        <v>1.9192378328741964</v>
      </c>
      <c r="AB85">
        <f t="shared" si="32"/>
        <v>1.2463171806167401</v>
      </c>
      <c r="AC85">
        <f t="shared" si="33"/>
        <v>1.1720563961485557</v>
      </c>
    </row>
    <row r="86" spans="1:29" x14ac:dyDescent="0.3">
      <c r="A86" s="5">
        <v>44531</v>
      </c>
      <c r="B86">
        <v>1.0969116080937169</v>
      </c>
      <c r="C86">
        <v>1.660028449502134</v>
      </c>
      <c r="D86">
        <v>1.0819148936170211</v>
      </c>
      <c r="E86">
        <v>1.1316073354908309</v>
      </c>
      <c r="F86" s="16">
        <f t="shared" si="22"/>
        <v>1.2141524666421546</v>
      </c>
      <c r="G86" s="16">
        <f t="shared" si="23"/>
        <v>1.2766487666030033</v>
      </c>
      <c r="H86" s="16">
        <f t="shared" si="24"/>
        <v>1.3738364186555378</v>
      </c>
      <c r="I86" s="16">
        <f t="shared" si="25"/>
        <v>1.1121158870125454</v>
      </c>
      <c r="J86" s="16">
        <f t="shared" si="26"/>
        <v>1.0954910217000156</v>
      </c>
      <c r="K86" s="16">
        <f t="shared" si="27"/>
        <v>1.2364470308550277</v>
      </c>
      <c r="L86" s="16">
        <f t="shared" si="28"/>
        <v>1.4311524507233464</v>
      </c>
      <c r="M86">
        <v>1.283482142857143</v>
      </c>
      <c r="N86">
        <v>1.9480755395683449</v>
      </c>
      <c r="P86">
        <v>1.182706203135651</v>
      </c>
      <c r="Q86">
        <v>1.7823381765475279</v>
      </c>
      <c r="R86">
        <v>1.2370066385955749</v>
      </c>
      <c r="S86" s="3">
        <v>178.84800000000001</v>
      </c>
      <c r="T86" s="3">
        <v>131.00299999999999</v>
      </c>
      <c r="U86" s="3">
        <v>131.00299999999999</v>
      </c>
      <c r="V86" s="3">
        <v>226.041</v>
      </c>
      <c r="W86" s="2">
        <v>142.166</v>
      </c>
      <c r="X86" s="2">
        <v>173.50299999999999</v>
      </c>
      <c r="Y86">
        <f t="shared" si="29"/>
        <v>1.2743482490272373</v>
      </c>
      <c r="Z86">
        <f t="shared" si="30"/>
        <v>1.2743482490272373</v>
      </c>
      <c r="AA86">
        <f t="shared" si="31"/>
        <v>2.0756749311294764</v>
      </c>
      <c r="AB86">
        <f t="shared" si="32"/>
        <v>1.2525638766519824</v>
      </c>
      <c r="AC86">
        <f t="shared" si="33"/>
        <v>1.19328060522696</v>
      </c>
    </row>
    <row r="87" spans="1:29" x14ac:dyDescent="0.3">
      <c r="A87" s="5">
        <v>44562</v>
      </c>
      <c r="B87">
        <v>1.120340788072417</v>
      </c>
      <c r="C87">
        <v>1.7396870554765289</v>
      </c>
      <c r="D87">
        <v>1.087234042553191</v>
      </c>
      <c r="E87">
        <v>1.1574973031283711</v>
      </c>
      <c r="F87" s="16">
        <f t="shared" si="22"/>
        <v>1.1936789782723074</v>
      </c>
      <c r="G87" s="16">
        <f t="shared" si="23"/>
        <v>1.2507587128824227</v>
      </c>
      <c r="H87" s="16">
        <f t="shared" si="24"/>
        <v>1.3405670405511578</v>
      </c>
      <c r="I87" s="16">
        <f t="shared" si="25"/>
        <v>1.0955430541636317</v>
      </c>
      <c r="J87" s="16">
        <f t="shared" si="26"/>
        <v>1.0827622948228062</v>
      </c>
      <c r="K87" s="16">
        <f t="shared" si="27"/>
        <v>1.2222177749838705</v>
      </c>
      <c r="L87" s="16">
        <f t="shared" si="28"/>
        <v>1.4129892044608989</v>
      </c>
      <c r="M87">
        <v>1.377232142857143</v>
      </c>
      <c r="N87">
        <v>1.903763489208633</v>
      </c>
      <c r="P87">
        <v>1.190940695296524</v>
      </c>
      <c r="Q87">
        <v>1.9648478099480331</v>
      </c>
      <c r="R87">
        <v>1.2658316158430301</v>
      </c>
      <c r="S87" s="3">
        <v>182.00700000000001</v>
      </c>
      <c r="T87" s="3">
        <v>128.339</v>
      </c>
      <c r="U87" s="3">
        <v>128.339</v>
      </c>
      <c r="V87" s="3">
        <v>226.72300000000001</v>
      </c>
      <c r="W87" s="2">
        <v>142.99799999999999</v>
      </c>
      <c r="X87" s="2">
        <v>174.71100000000001</v>
      </c>
      <c r="Y87">
        <f t="shared" si="29"/>
        <v>1.2484338521400777</v>
      </c>
      <c r="Z87">
        <f t="shared" si="30"/>
        <v>1.2484338521400777</v>
      </c>
      <c r="AA87">
        <f t="shared" si="31"/>
        <v>2.0819375573921031</v>
      </c>
      <c r="AB87">
        <f t="shared" si="32"/>
        <v>1.2598942731277532</v>
      </c>
      <c r="AC87">
        <f t="shared" si="33"/>
        <v>1.2015887207702889</v>
      </c>
    </row>
    <row r="88" spans="1:29" x14ac:dyDescent="0.3">
      <c r="A88" s="5">
        <v>44593</v>
      </c>
      <c r="B88">
        <v>1.1309904153354631</v>
      </c>
      <c r="C88">
        <v>1.7667140825035561</v>
      </c>
      <c r="D88">
        <v>1.09468085106383</v>
      </c>
      <c r="E88">
        <v>1.1693635382955769</v>
      </c>
      <c r="F88" s="16">
        <f t="shared" si="22"/>
        <v>1.2126402741885327</v>
      </c>
      <c r="G88" s="16">
        <f t="shared" si="23"/>
        <v>1.2600647786836237</v>
      </c>
      <c r="H88" s="16">
        <f t="shared" si="24"/>
        <v>1.3445336235240748</v>
      </c>
      <c r="I88" s="16">
        <f t="shared" si="25"/>
        <v>1.1238986659730212</v>
      </c>
      <c r="J88" s="16">
        <f t="shared" si="26"/>
        <v>1.1434316053436155</v>
      </c>
      <c r="K88" s="16">
        <f t="shared" si="27"/>
        <v>1.2314006020455528</v>
      </c>
      <c r="L88" s="16">
        <f t="shared" si="28"/>
        <v>1.458000046603031</v>
      </c>
      <c r="M88">
        <v>1.435267857142857</v>
      </c>
      <c r="N88">
        <v>1.7747122302158269</v>
      </c>
      <c r="P88">
        <v>1.1859168370824811</v>
      </c>
      <c r="Q88">
        <v>2.0550111358574612</v>
      </c>
      <c r="R88">
        <v>1.277089708065793</v>
      </c>
      <c r="S88" s="3">
        <v>183.02199999999999</v>
      </c>
      <c r="T88" s="3">
        <v>128.21299999999999</v>
      </c>
      <c r="U88" s="3">
        <v>128.21299999999999</v>
      </c>
      <c r="V88" s="3">
        <v>234.38</v>
      </c>
      <c r="W88" s="2">
        <v>170.952</v>
      </c>
      <c r="X88" s="2">
        <v>173.97399999999999</v>
      </c>
      <c r="Y88">
        <f t="shared" si="29"/>
        <v>1.2472081712062257</v>
      </c>
      <c r="Z88">
        <f t="shared" si="30"/>
        <v>1.2472081712062257</v>
      </c>
      <c r="AA88">
        <f t="shared" si="31"/>
        <v>2.1522497704315886</v>
      </c>
      <c r="AB88">
        <f t="shared" si="32"/>
        <v>1.5061850220264317</v>
      </c>
      <c r="AC88">
        <f t="shared" si="33"/>
        <v>1.1965199449793671</v>
      </c>
    </row>
    <row r="89" spans="1:29" x14ac:dyDescent="0.3">
      <c r="A89" s="5">
        <v>44621</v>
      </c>
      <c r="B89">
        <v>1.144834930777423</v>
      </c>
      <c r="C89">
        <v>1.8605974395448079</v>
      </c>
      <c r="D89">
        <v>1.102127659574468</v>
      </c>
      <c r="E89">
        <v>1.1898597626752969</v>
      </c>
      <c r="F89" s="16">
        <f t="shared" si="22"/>
        <v>1.2316015701047582</v>
      </c>
      <c r="G89" s="16">
        <f t="shared" si="23"/>
        <v>1.2693708444848244</v>
      </c>
      <c r="H89" s="16">
        <f t="shared" si="24"/>
        <v>1.3485002064969915</v>
      </c>
      <c r="I89" s="16">
        <f t="shared" si="25"/>
        <v>1.152254277782411</v>
      </c>
      <c r="J89" s="16">
        <f t="shared" si="26"/>
        <v>1.2041009158644249</v>
      </c>
      <c r="K89" s="16">
        <f t="shared" si="27"/>
        <v>1.2405834291072348</v>
      </c>
      <c r="L89" s="16">
        <f t="shared" si="28"/>
        <v>1.5030108887451632</v>
      </c>
      <c r="M89">
        <v>1.495535714285714</v>
      </c>
      <c r="N89">
        <v>1.7879451438848919</v>
      </c>
      <c r="P89">
        <v>1.2217995910020449</v>
      </c>
      <c r="Q89">
        <v>2.0954133178399701</v>
      </c>
      <c r="R89">
        <v>1.2840967272510959</v>
      </c>
      <c r="S89" s="3">
        <v>182.946</v>
      </c>
      <c r="T89" s="3">
        <v>129.69499999999999</v>
      </c>
      <c r="U89" s="3">
        <v>129.69499999999999</v>
      </c>
      <c r="V89" s="3">
        <v>239.43199999999999</v>
      </c>
      <c r="W89" s="2">
        <v>174.398</v>
      </c>
      <c r="X89" s="2">
        <v>179.238</v>
      </c>
      <c r="Y89">
        <f t="shared" si="29"/>
        <v>1.261624513618677</v>
      </c>
      <c r="Z89">
        <f t="shared" si="30"/>
        <v>1.261624513618677</v>
      </c>
      <c r="AA89">
        <f t="shared" si="31"/>
        <v>2.1986409550045911</v>
      </c>
      <c r="AB89">
        <f t="shared" si="32"/>
        <v>1.5365462555066078</v>
      </c>
      <c r="AC89">
        <f t="shared" si="33"/>
        <v>1.2327235213204952</v>
      </c>
    </row>
    <row r="90" spans="1:29" x14ac:dyDescent="0.3">
      <c r="A90" s="5">
        <v>44652</v>
      </c>
      <c r="B90">
        <v>1.1586794462193819</v>
      </c>
      <c r="C90">
        <v>1.9871977240398291</v>
      </c>
      <c r="D90">
        <v>1.1042553191489359</v>
      </c>
      <c r="E90">
        <v>1.2168284789644011</v>
      </c>
      <c r="F90" s="16">
        <f t="shared" si="22"/>
        <v>1.2505628660209838</v>
      </c>
      <c r="G90" s="16">
        <f t="shared" si="23"/>
        <v>1.2786769102860254</v>
      </c>
      <c r="H90" s="16">
        <f t="shared" si="24"/>
        <v>1.3524667894699085</v>
      </c>
      <c r="I90" s="16">
        <f t="shared" si="25"/>
        <v>1.1806098895918007</v>
      </c>
      <c r="J90" s="16">
        <f t="shared" si="26"/>
        <v>1.2647702263852343</v>
      </c>
      <c r="K90" s="16">
        <f t="shared" si="27"/>
        <v>1.2497662561689169</v>
      </c>
      <c r="L90" s="16">
        <f t="shared" si="28"/>
        <v>1.5480217308872952</v>
      </c>
      <c r="M90">
        <v>1.553571428571429</v>
      </c>
      <c r="N90">
        <v>1.823988309352518</v>
      </c>
      <c r="P90">
        <v>1.237102931152011</v>
      </c>
      <c r="Q90">
        <v>2.3060993240339118</v>
      </c>
      <c r="R90">
        <v>1.284441794118659</v>
      </c>
      <c r="S90" s="3">
        <v>185.62200000000001</v>
      </c>
      <c r="T90" s="3">
        <v>130.70699999999999</v>
      </c>
      <c r="U90" s="3">
        <v>130.70699999999999</v>
      </c>
      <c r="V90" s="3">
        <v>240.47300000000001</v>
      </c>
      <c r="W90" s="2">
        <v>175.68299999999999</v>
      </c>
      <c r="X90" s="2">
        <v>181.483</v>
      </c>
      <c r="Y90">
        <f t="shared" si="29"/>
        <v>1.2714688715953306</v>
      </c>
      <c r="Z90">
        <f t="shared" si="30"/>
        <v>1.2714688715953306</v>
      </c>
      <c r="AA90">
        <f t="shared" si="31"/>
        <v>2.2082001836547289</v>
      </c>
      <c r="AB90">
        <f t="shared" si="32"/>
        <v>1.5478678414096916</v>
      </c>
      <c r="AC90">
        <f t="shared" si="33"/>
        <v>1.2481636863823933</v>
      </c>
    </row>
    <row r="91" spans="1:29" x14ac:dyDescent="0.3">
      <c r="A91" s="5">
        <v>44682</v>
      </c>
      <c r="B91">
        <v>1.171458998935037</v>
      </c>
      <c r="C91">
        <v>2.0512091038406828</v>
      </c>
      <c r="D91">
        <v>1.1095744680851061</v>
      </c>
      <c r="E91">
        <v>1.236245954692557</v>
      </c>
      <c r="F91" s="16">
        <f t="shared" si="22"/>
        <v>1.2695241619372091</v>
      </c>
      <c r="G91" s="16">
        <f t="shared" si="23"/>
        <v>1.2879829760872263</v>
      </c>
      <c r="H91" s="16">
        <f t="shared" si="24"/>
        <v>1.3564333724428255</v>
      </c>
      <c r="I91" s="16">
        <f t="shared" si="25"/>
        <v>1.2089655014011902</v>
      </c>
      <c r="J91" s="16">
        <f t="shared" si="26"/>
        <v>1.3254395369060437</v>
      </c>
      <c r="K91" s="16">
        <f t="shared" si="27"/>
        <v>1.2589490832305992</v>
      </c>
      <c r="L91" s="16">
        <f t="shared" si="28"/>
        <v>1.5930325730294272</v>
      </c>
      <c r="M91">
        <v>1.5703125</v>
      </c>
      <c r="N91">
        <v>1.909734712230216</v>
      </c>
      <c r="P91">
        <v>1.250047716428085</v>
      </c>
      <c r="Q91">
        <v>2.434737126273868</v>
      </c>
      <c r="R91">
        <v>1.26598921178722</v>
      </c>
      <c r="S91" s="3">
        <v>192.124</v>
      </c>
      <c r="T91" s="3">
        <v>130.80500000000001</v>
      </c>
      <c r="U91" s="3">
        <v>130.80500000000001</v>
      </c>
      <c r="V91" s="3">
        <v>249.476</v>
      </c>
      <c r="W91" s="2">
        <v>176.35</v>
      </c>
      <c r="X91" s="2">
        <v>183.38200000000001</v>
      </c>
      <c r="Y91">
        <f t="shared" si="29"/>
        <v>1.272422178988327</v>
      </c>
      <c r="Z91">
        <f t="shared" si="30"/>
        <v>1.272422178988327</v>
      </c>
      <c r="AA91">
        <f t="shared" si="31"/>
        <v>2.2908723599632688</v>
      </c>
      <c r="AB91">
        <f t="shared" si="32"/>
        <v>1.5537444933920703</v>
      </c>
      <c r="AC91">
        <f t="shared" si="33"/>
        <v>1.2612242090784045</v>
      </c>
    </row>
    <row r="92" spans="1:29" x14ac:dyDescent="0.3">
      <c r="A92" s="5">
        <v>44713</v>
      </c>
      <c r="B92">
        <v>1.178913738019169</v>
      </c>
      <c r="C92">
        <v>2.0142247510668558</v>
      </c>
      <c r="D92">
        <v>1.1223404255319149</v>
      </c>
      <c r="E92">
        <v>1.2427184466019421</v>
      </c>
      <c r="F92" s="16">
        <f t="shared" si="22"/>
        <v>1.2884854578534344</v>
      </c>
      <c r="G92" s="16">
        <f t="shared" si="23"/>
        <v>1.2972890418884271</v>
      </c>
      <c r="H92" s="16">
        <f t="shared" si="24"/>
        <v>1.3603999554157422</v>
      </c>
      <c r="I92" s="16">
        <f t="shared" si="25"/>
        <v>1.2373211132105797</v>
      </c>
      <c r="J92" s="16">
        <f t="shared" si="26"/>
        <v>1.3861088474268533</v>
      </c>
      <c r="K92" s="16">
        <f t="shared" si="27"/>
        <v>1.2681319102922815</v>
      </c>
      <c r="L92" s="16">
        <f t="shared" si="28"/>
        <v>1.6380434151715595</v>
      </c>
      <c r="M92">
        <v>1.559151785714286</v>
      </c>
      <c r="N92">
        <v>1.853974820143885</v>
      </c>
      <c r="P92">
        <v>1.24531015678255</v>
      </c>
      <c r="Q92">
        <v>2.293176756428434</v>
      </c>
      <c r="R92">
        <v>1.2958379896114129</v>
      </c>
      <c r="S92" s="3">
        <v>193.24700000000001</v>
      </c>
      <c r="T92" s="3">
        <v>135.578</v>
      </c>
      <c r="U92" s="3">
        <v>135.578</v>
      </c>
      <c r="V92" s="3">
        <v>249.905</v>
      </c>
      <c r="W92" s="2">
        <v>177.72800000000001</v>
      </c>
      <c r="X92" s="2">
        <v>182.68700000000001</v>
      </c>
      <c r="Y92">
        <f t="shared" si="29"/>
        <v>1.318852140077821</v>
      </c>
      <c r="Z92">
        <f t="shared" si="30"/>
        <v>1.318852140077821</v>
      </c>
      <c r="AA92">
        <f t="shared" si="31"/>
        <v>2.2948117539026627</v>
      </c>
      <c r="AB92">
        <f t="shared" si="32"/>
        <v>1.5658854625550662</v>
      </c>
      <c r="AC92">
        <f t="shared" si="33"/>
        <v>1.2564442916093534</v>
      </c>
    </row>
    <row r="93" spans="1:29" x14ac:dyDescent="0.3">
      <c r="A93" s="5">
        <v>44743</v>
      </c>
      <c r="B93">
        <v>1.1895633652822151</v>
      </c>
      <c r="C93">
        <v>1.9459459459459461</v>
      </c>
      <c r="D93">
        <v>1.129787234042553</v>
      </c>
      <c r="E93">
        <v>1.2556634304207119</v>
      </c>
      <c r="F93" s="16">
        <f t="shared" si="22"/>
        <v>1.3074467537696599</v>
      </c>
      <c r="G93" s="16">
        <f t="shared" si="23"/>
        <v>1.3065951076896281</v>
      </c>
      <c r="H93" s="16">
        <f t="shared" si="24"/>
        <v>1.3643665383886592</v>
      </c>
      <c r="I93" s="16">
        <f t="shared" si="25"/>
        <v>1.2656767250199694</v>
      </c>
      <c r="J93" s="16">
        <f t="shared" si="26"/>
        <v>1.4467781579476626</v>
      </c>
      <c r="K93" s="16">
        <f t="shared" si="27"/>
        <v>1.2773147373539635</v>
      </c>
      <c r="L93" s="16">
        <f t="shared" si="28"/>
        <v>1.6830542573136915</v>
      </c>
      <c r="M93">
        <v>1.542410714285714</v>
      </c>
      <c r="N93">
        <v>1.7672661870503601</v>
      </c>
      <c r="P93">
        <v>1.247416496250852</v>
      </c>
      <c r="Q93">
        <v>1.9455933821189899</v>
      </c>
      <c r="R93">
        <v>1.1961335815383281</v>
      </c>
      <c r="S93" s="3">
        <v>193.208</v>
      </c>
      <c r="T93" s="3">
        <v>135.87299999999999</v>
      </c>
      <c r="U93" s="3">
        <v>135.87299999999999</v>
      </c>
      <c r="V93" s="3">
        <v>252.46299999999999</v>
      </c>
      <c r="W93" s="2">
        <v>178.92400000000001</v>
      </c>
      <c r="X93" s="2">
        <v>182.99600000000001</v>
      </c>
      <c r="Y93">
        <f t="shared" si="29"/>
        <v>1.3217217898832685</v>
      </c>
      <c r="Z93">
        <f t="shared" si="30"/>
        <v>1.3217217898832685</v>
      </c>
      <c r="AA93">
        <f t="shared" si="31"/>
        <v>2.318301193755739</v>
      </c>
      <c r="AB93">
        <f t="shared" si="32"/>
        <v>1.5764229074889868</v>
      </c>
      <c r="AC93">
        <f t="shared" si="33"/>
        <v>1.2585694635488309</v>
      </c>
    </row>
    <row r="94" spans="1:29" x14ac:dyDescent="0.3">
      <c r="A94" s="5">
        <v>44774</v>
      </c>
      <c r="B94">
        <v>1.1980830670926521</v>
      </c>
      <c r="C94">
        <v>1.8890469416785209</v>
      </c>
      <c r="D94">
        <v>1.136170212765957</v>
      </c>
      <c r="E94">
        <v>1.2578209277238399</v>
      </c>
      <c r="F94" s="16">
        <f t="shared" si="22"/>
        <v>1.3264080496858854</v>
      </c>
      <c r="G94" s="16">
        <f t="shared" si="23"/>
        <v>1.315901173490829</v>
      </c>
      <c r="H94" s="16">
        <f t="shared" si="24"/>
        <v>1.3683331213615761</v>
      </c>
      <c r="I94" s="16">
        <f t="shared" si="25"/>
        <v>1.2940323368293591</v>
      </c>
      <c r="J94" s="16">
        <f t="shared" si="26"/>
        <v>1.507447468468472</v>
      </c>
      <c r="K94" s="16">
        <f t="shared" si="27"/>
        <v>1.2864975644156456</v>
      </c>
      <c r="L94" s="16">
        <f t="shared" si="28"/>
        <v>1.7280650994558235</v>
      </c>
      <c r="M94">
        <v>1.544642857142857</v>
      </c>
      <c r="N94">
        <v>1.6822032374100719</v>
      </c>
      <c r="P94">
        <v>1.201329243353783</v>
      </c>
      <c r="Q94">
        <v>1.8523934024079289</v>
      </c>
      <c r="R94">
        <v>1.1631354442132911</v>
      </c>
      <c r="S94" s="3">
        <v>194.048</v>
      </c>
      <c r="T94" s="3">
        <v>135.46600000000001</v>
      </c>
      <c r="U94" s="3">
        <v>135.46600000000001</v>
      </c>
      <c r="V94" s="3">
        <v>252.846</v>
      </c>
      <c r="W94" s="2">
        <v>178.999</v>
      </c>
      <c r="X94" s="2">
        <v>176.23500000000001</v>
      </c>
      <c r="Y94">
        <f t="shared" si="29"/>
        <v>1.317762645914397</v>
      </c>
      <c r="Z94">
        <f t="shared" si="30"/>
        <v>1.317762645914397</v>
      </c>
      <c r="AA94">
        <f t="shared" si="31"/>
        <v>2.3218181818181818</v>
      </c>
      <c r="AB94">
        <f t="shared" si="32"/>
        <v>1.5770837004405287</v>
      </c>
      <c r="AC94">
        <f t="shared" si="33"/>
        <v>1.21207015130674</v>
      </c>
    </row>
    <row r="95" spans="1:29" x14ac:dyDescent="0.3">
      <c r="A95" s="5">
        <v>44805</v>
      </c>
      <c r="B95">
        <v>1.206602768903088</v>
      </c>
      <c r="C95">
        <v>1.862019914651494</v>
      </c>
      <c r="D95">
        <v>1.141489361702128</v>
      </c>
      <c r="E95">
        <v>1.2578209277238399</v>
      </c>
      <c r="F95" s="16">
        <f t="shared" si="22"/>
        <v>1.3453693456021107</v>
      </c>
      <c r="G95" s="16">
        <f t="shared" si="23"/>
        <v>1.3252072392920298</v>
      </c>
      <c r="H95" s="16">
        <f t="shared" si="24"/>
        <v>1.3722997043344929</v>
      </c>
      <c r="I95" s="16">
        <f t="shared" si="25"/>
        <v>1.3223879486387486</v>
      </c>
      <c r="J95" s="16">
        <f t="shared" si="26"/>
        <v>1.5681167789892814</v>
      </c>
      <c r="K95" s="16">
        <f t="shared" si="27"/>
        <v>1.2956803914773278</v>
      </c>
      <c r="L95" s="16">
        <f t="shared" si="28"/>
        <v>1.7730759415979556</v>
      </c>
      <c r="M95">
        <v>1.5323660714285721</v>
      </c>
      <c r="N95">
        <v>1.587567446043165</v>
      </c>
      <c r="P95">
        <v>1.191663258350375</v>
      </c>
      <c r="Q95">
        <v>1.751164203280015</v>
      </c>
      <c r="R95">
        <v>1.103809180059403</v>
      </c>
      <c r="S95" s="3">
        <v>193.822</v>
      </c>
      <c r="T95" s="3">
        <v>137.22200000000001</v>
      </c>
      <c r="U95" s="3">
        <v>137.22200000000001</v>
      </c>
      <c r="V95" s="3">
        <v>251.614</v>
      </c>
      <c r="W95" s="2">
        <v>179.63</v>
      </c>
      <c r="X95" s="2">
        <v>174.81700000000001</v>
      </c>
      <c r="Y95">
        <f t="shared" si="29"/>
        <v>1.3348443579766538</v>
      </c>
      <c r="Z95">
        <f t="shared" si="30"/>
        <v>1.3348443579766538</v>
      </c>
      <c r="AA95">
        <f t="shared" si="31"/>
        <v>2.3105050505050504</v>
      </c>
      <c r="AB95">
        <f t="shared" si="32"/>
        <v>1.5826431718061673</v>
      </c>
      <c r="AC95">
        <f t="shared" si="33"/>
        <v>1.2023177441540578</v>
      </c>
    </row>
    <row r="96" spans="1:29" x14ac:dyDescent="0.3">
      <c r="A96" s="5">
        <v>44835</v>
      </c>
      <c r="B96">
        <v>1.216187433439829</v>
      </c>
      <c r="C96">
        <v>1.829302987197724</v>
      </c>
      <c r="D96">
        <v>1.1457446808510641</v>
      </c>
      <c r="E96">
        <v>1.259978425026969</v>
      </c>
      <c r="F96" s="16">
        <f t="shared" si="22"/>
        <v>1.3643306415183361</v>
      </c>
      <c r="G96" s="16">
        <f t="shared" si="23"/>
        <v>1.3345133050932307</v>
      </c>
      <c r="H96" s="16">
        <f t="shared" si="24"/>
        <v>1.3762662873074099</v>
      </c>
      <c r="I96" s="16">
        <f t="shared" si="25"/>
        <v>1.3507435604481381</v>
      </c>
      <c r="J96" s="16">
        <f t="shared" si="26"/>
        <v>1.6287860895100907</v>
      </c>
      <c r="K96" s="16">
        <f t="shared" si="27"/>
        <v>1.3048632185390101</v>
      </c>
      <c r="L96" s="16">
        <f t="shared" si="28"/>
        <v>1.8180867837400878</v>
      </c>
      <c r="M96">
        <v>1.5011160714285721</v>
      </c>
      <c r="N96">
        <v>1.5146852517985609</v>
      </c>
      <c r="P96">
        <v>1.1611179277436949</v>
      </c>
      <c r="Q96">
        <v>1.488881818503192</v>
      </c>
      <c r="R96">
        <v>1.0390806479277011</v>
      </c>
      <c r="S96" s="3">
        <v>192.32300000000001</v>
      </c>
      <c r="T96" s="3">
        <v>135.41200000000001</v>
      </c>
      <c r="U96" s="3">
        <v>135.41200000000001</v>
      </c>
      <c r="V96" s="3">
        <v>252.31899999999999</v>
      </c>
      <c r="W96" s="2">
        <v>180.77699999999999</v>
      </c>
      <c r="X96" s="2">
        <v>170.33600000000001</v>
      </c>
      <c r="Y96">
        <f t="shared" si="29"/>
        <v>1.3172373540856033</v>
      </c>
      <c r="Z96">
        <f t="shared" si="30"/>
        <v>1.3172373540856033</v>
      </c>
      <c r="AA96">
        <f t="shared" si="31"/>
        <v>2.3169788797061521</v>
      </c>
      <c r="AB96">
        <f t="shared" si="32"/>
        <v>1.592748898678414</v>
      </c>
      <c r="AC96">
        <f t="shared" si="33"/>
        <v>1.1714993122420909</v>
      </c>
    </row>
    <row r="97" spans="1:29" x14ac:dyDescent="0.3">
      <c r="A97" s="5">
        <v>44866</v>
      </c>
      <c r="B97">
        <v>1.221512247071352</v>
      </c>
      <c r="C97">
        <v>1.7667140825035561</v>
      </c>
      <c r="D97">
        <v>1.147872340425532</v>
      </c>
      <c r="E97">
        <v>1.2578209277238399</v>
      </c>
      <c r="F97" s="16">
        <f t="shared" si="22"/>
        <v>1.3832919374345616</v>
      </c>
      <c r="G97" s="16">
        <f t="shared" si="23"/>
        <v>1.3438193708944317</v>
      </c>
      <c r="H97" s="16">
        <f t="shared" si="24"/>
        <v>1.3802328702803268</v>
      </c>
      <c r="I97" s="16">
        <f t="shared" si="25"/>
        <v>1.3790991722575279</v>
      </c>
      <c r="J97" s="16">
        <f t="shared" si="26"/>
        <v>1.6894554000309001</v>
      </c>
      <c r="K97" s="16">
        <f t="shared" si="27"/>
        <v>1.3140460456006922</v>
      </c>
      <c r="L97" s="16">
        <f t="shared" si="28"/>
        <v>1.8630976258822201</v>
      </c>
      <c r="M97">
        <v>1.4776785714285721</v>
      </c>
      <c r="N97">
        <v>1.4742535971223021</v>
      </c>
      <c r="P97">
        <v>1.15145875937287</v>
      </c>
      <c r="Q97">
        <v>1.5020921914017671</v>
      </c>
      <c r="R97">
        <v>1.055147275232436</v>
      </c>
      <c r="S97" s="3">
        <v>192.31800000000001</v>
      </c>
      <c r="T97" s="3">
        <v>136.72399999999999</v>
      </c>
      <c r="U97" s="3">
        <v>136.72399999999999</v>
      </c>
      <c r="V97" s="3">
        <v>252.167</v>
      </c>
      <c r="W97" s="2">
        <v>180.006</v>
      </c>
      <c r="X97" s="2">
        <v>168.91900000000001</v>
      </c>
      <c r="Y97">
        <f t="shared" si="29"/>
        <v>1.3299999999999998</v>
      </c>
      <c r="Z97">
        <f t="shared" si="30"/>
        <v>1.3299999999999998</v>
      </c>
      <c r="AA97">
        <f t="shared" si="31"/>
        <v>2.3155831037649217</v>
      </c>
      <c r="AB97">
        <f t="shared" si="32"/>
        <v>1.5859559471365638</v>
      </c>
      <c r="AC97">
        <f t="shared" si="33"/>
        <v>1.1617537826685007</v>
      </c>
    </row>
    <row r="98" spans="1:29" x14ac:dyDescent="0.3">
      <c r="A98" s="5">
        <v>44896</v>
      </c>
      <c r="B98">
        <v>1.2236421725239619</v>
      </c>
      <c r="C98">
        <v>1.719772403982931</v>
      </c>
      <c r="D98">
        <v>1.1499999999999999</v>
      </c>
      <c r="E98">
        <v>1.2556634304207119</v>
      </c>
      <c r="F98" s="16">
        <f t="shared" si="22"/>
        <v>1.4022532333507871</v>
      </c>
      <c r="G98" s="16">
        <f t="shared" si="23"/>
        <v>1.3531254366956325</v>
      </c>
      <c r="H98" s="16">
        <f t="shared" si="24"/>
        <v>1.3841994532532436</v>
      </c>
      <c r="I98" s="16">
        <f t="shared" si="25"/>
        <v>1.4074547840669176</v>
      </c>
      <c r="J98" s="16">
        <f t="shared" si="26"/>
        <v>1.7501247105517095</v>
      </c>
      <c r="K98" s="16">
        <f t="shared" si="27"/>
        <v>1.3232288726623742</v>
      </c>
      <c r="L98" s="16">
        <f t="shared" si="28"/>
        <v>1.9081084680243521</v>
      </c>
      <c r="M98">
        <v>1.458705357142857</v>
      </c>
      <c r="N98">
        <v>1.450890287769784</v>
      </c>
      <c r="P98">
        <v>1.1546421267893661</v>
      </c>
      <c r="Q98">
        <v>1.497941553620846</v>
      </c>
      <c r="R98">
        <v>1.0972948136547529</v>
      </c>
      <c r="S98" s="3">
        <v>191.93100000000001</v>
      </c>
      <c r="T98" s="3">
        <v>136.464</v>
      </c>
      <c r="U98" s="3">
        <v>136.464</v>
      </c>
      <c r="V98" s="3">
        <v>246.77</v>
      </c>
      <c r="W98" s="2">
        <v>180.56200000000001</v>
      </c>
      <c r="X98" s="2">
        <v>169.386</v>
      </c>
      <c r="Y98">
        <f t="shared" si="29"/>
        <v>1.3274708171206226</v>
      </c>
      <c r="Z98">
        <f t="shared" si="30"/>
        <v>1.3274708171206226</v>
      </c>
      <c r="AA98">
        <f t="shared" si="31"/>
        <v>2.2660238751147843</v>
      </c>
      <c r="AB98">
        <f t="shared" si="32"/>
        <v>1.5908546255506608</v>
      </c>
      <c r="AC98">
        <f t="shared" si="33"/>
        <v>1.1649656121045391</v>
      </c>
    </row>
    <row r="99" spans="1:29" x14ac:dyDescent="0.3">
      <c r="A99" s="5">
        <v>44927</v>
      </c>
      <c r="B99">
        <v>1.2385516506922261</v>
      </c>
      <c r="C99">
        <v>1.681365576102418</v>
      </c>
      <c r="D99">
        <v>1.172340425531915</v>
      </c>
      <c r="E99">
        <v>1.261057173678533</v>
      </c>
      <c r="F99" s="16">
        <f t="shared" si="22"/>
        <v>1.4212145292670124</v>
      </c>
      <c r="G99" s="16">
        <f t="shared" si="23"/>
        <v>1.3624315024968334</v>
      </c>
      <c r="H99" s="16">
        <f t="shared" si="24"/>
        <v>1.3881660362261605</v>
      </c>
      <c r="I99" s="16">
        <f t="shared" si="25"/>
        <v>1.4358103958763071</v>
      </c>
      <c r="J99" s="16">
        <f t="shared" si="26"/>
        <v>1.8107940210725189</v>
      </c>
      <c r="K99" s="16">
        <f t="shared" si="27"/>
        <v>1.3324116997240565</v>
      </c>
      <c r="L99" s="16">
        <f t="shared" si="28"/>
        <v>1.9531193101664841</v>
      </c>
      <c r="M99">
        <v>1.4620535714285721</v>
      </c>
      <c r="N99">
        <v>1.454739208633093</v>
      </c>
      <c r="P99">
        <v>1.1531424676209949</v>
      </c>
      <c r="Q99">
        <v>1.4894040629007279</v>
      </c>
      <c r="R99">
        <v>1.1938621923631549</v>
      </c>
      <c r="S99" s="3">
        <v>192.21899999999999</v>
      </c>
      <c r="T99" s="3">
        <v>135.75899999999999</v>
      </c>
      <c r="U99" s="3">
        <v>135.75899999999999</v>
      </c>
      <c r="V99" s="3">
        <v>250.89500000000001</v>
      </c>
      <c r="W99" s="2">
        <v>181.24299999999999</v>
      </c>
      <c r="X99" s="2">
        <v>169.166</v>
      </c>
      <c r="Y99">
        <f t="shared" si="29"/>
        <v>1.320612840466926</v>
      </c>
      <c r="Z99">
        <f t="shared" si="30"/>
        <v>1.320612840466926</v>
      </c>
      <c r="AA99">
        <f t="shared" si="31"/>
        <v>2.3039026629935719</v>
      </c>
      <c r="AB99">
        <f t="shared" si="32"/>
        <v>1.5968546255506608</v>
      </c>
      <c r="AC99">
        <f t="shared" si="33"/>
        <v>1.1634525447042641</v>
      </c>
    </row>
    <row r="100" spans="1:29" x14ac:dyDescent="0.3">
      <c r="A100" s="5">
        <v>44958</v>
      </c>
      <c r="B100">
        <v>1.2417465388711391</v>
      </c>
      <c r="C100">
        <v>1.668563300142248</v>
      </c>
      <c r="D100">
        <v>1.178723404255319</v>
      </c>
      <c r="E100">
        <v>1.261057173678533</v>
      </c>
      <c r="M100">
        <v>1.459821428571429</v>
      </c>
      <c r="N100">
        <v>1.495575539568345</v>
      </c>
      <c r="P100">
        <v>1.134021813224267</v>
      </c>
      <c r="Q100">
        <v>1.476317743132888</v>
      </c>
      <c r="R100">
        <v>1.233079639083944</v>
      </c>
      <c r="S100" s="3">
        <v>192.465</v>
      </c>
      <c r="T100" s="3">
        <v>135.322</v>
      </c>
      <c r="U100" s="3">
        <v>135.322</v>
      </c>
      <c r="V100" s="3">
        <v>249.93600000000001</v>
      </c>
      <c r="W100" s="2">
        <v>189.27699999999999</v>
      </c>
      <c r="X100" s="2">
        <v>166.36099999999999</v>
      </c>
      <c r="Y100">
        <f t="shared" si="29"/>
        <v>1.3163618677042803</v>
      </c>
      <c r="Z100">
        <f t="shared" si="30"/>
        <v>1.3163618677042803</v>
      </c>
      <c r="AA100">
        <f t="shared" si="31"/>
        <v>2.2950964187327823</v>
      </c>
      <c r="AB100">
        <f t="shared" si="32"/>
        <v>1.6676387665198236</v>
      </c>
      <c r="AC100">
        <f t="shared" si="33"/>
        <v>1.1441609353507565</v>
      </c>
    </row>
    <row r="101" spans="1:29" x14ac:dyDescent="0.3">
      <c r="A101" s="5">
        <v>44986</v>
      </c>
      <c r="B101">
        <v>1.2385516506922261</v>
      </c>
      <c r="C101">
        <v>1.658605974395448</v>
      </c>
      <c r="D101">
        <v>1.182978723404255</v>
      </c>
      <c r="E101">
        <v>1.2578209277238399</v>
      </c>
      <c r="M101">
        <v>1.4296875</v>
      </c>
      <c r="N101">
        <v>1.5321627697841731</v>
      </c>
      <c r="P101">
        <v>1.135180640763463</v>
      </c>
      <c r="Q101">
        <v>1.416351957651464</v>
      </c>
      <c r="R101">
        <v>1.164123437844812</v>
      </c>
      <c r="S101" s="3">
        <v>191.36</v>
      </c>
      <c r="T101" s="3">
        <v>131.71199999999999</v>
      </c>
      <c r="U101" s="3">
        <v>131.71199999999999</v>
      </c>
      <c r="V101" s="3">
        <v>249.23</v>
      </c>
      <c r="W101" s="2">
        <v>181.608</v>
      </c>
      <c r="X101" s="2">
        <v>166.53100000000001</v>
      </c>
      <c r="Y101">
        <f t="shared" si="29"/>
        <v>1.2812451361867703</v>
      </c>
      <c r="Z101">
        <f t="shared" si="30"/>
        <v>1.2812451361867703</v>
      </c>
      <c r="AA101">
        <f t="shared" si="31"/>
        <v>2.2886134067952248</v>
      </c>
      <c r="AB101">
        <f t="shared" si="32"/>
        <v>1.6000704845814979</v>
      </c>
      <c r="AC101">
        <f t="shared" si="33"/>
        <v>1.1453301237964237</v>
      </c>
    </row>
    <row r="102" spans="1:29" x14ac:dyDescent="0.3">
      <c r="A102" s="5">
        <v>45017</v>
      </c>
      <c r="B102">
        <v>1.2385516506922261</v>
      </c>
      <c r="C102">
        <v>1.6514935988620201</v>
      </c>
      <c r="D102">
        <v>1.1882978723404261</v>
      </c>
      <c r="E102">
        <v>1.2513484358144551</v>
      </c>
      <c r="M102">
        <v>1.410714285714286</v>
      </c>
      <c r="N102">
        <v>1.563970323741007</v>
      </c>
      <c r="P102">
        <v>1.1078868438991141</v>
      </c>
      <c r="Q102">
        <v>1.412509279881218</v>
      </c>
      <c r="R102">
        <v>1.123587936397576</v>
      </c>
      <c r="S102" s="3">
        <v>191.125</v>
      </c>
      <c r="T102" s="3">
        <v>132.18899999999999</v>
      </c>
      <c r="U102" s="3">
        <v>132.18899999999999</v>
      </c>
      <c r="V102" s="3">
        <v>249.291</v>
      </c>
      <c r="W102" s="2">
        <v>187.554</v>
      </c>
      <c r="X102" s="2">
        <v>162.52699999999999</v>
      </c>
      <c r="Y102">
        <f t="shared" si="29"/>
        <v>1.2858852140077821</v>
      </c>
      <c r="Z102">
        <f t="shared" si="30"/>
        <v>1.2858852140077821</v>
      </c>
      <c r="AA102">
        <f t="shared" si="31"/>
        <v>2.2891735537190083</v>
      </c>
      <c r="AB102">
        <f t="shared" si="32"/>
        <v>1.6524581497797357</v>
      </c>
      <c r="AC102">
        <f t="shared" si="33"/>
        <v>1.1177922971114167</v>
      </c>
    </row>
    <row r="103" spans="1:29" x14ac:dyDescent="0.3">
      <c r="A103" s="5">
        <v>45047</v>
      </c>
      <c r="B103">
        <v>1.237486687965921</v>
      </c>
      <c r="C103">
        <v>1.631578947368421</v>
      </c>
      <c r="D103">
        <v>1.189361702127659</v>
      </c>
      <c r="E103">
        <v>1.245954692556634</v>
      </c>
      <c r="M103">
        <v>1.397321428571429</v>
      </c>
      <c r="N103">
        <v>1.600809352517985</v>
      </c>
      <c r="P103">
        <v>1.0984458077709609</v>
      </c>
      <c r="Q103">
        <v>1.3939834091862759</v>
      </c>
      <c r="R103">
        <v>1.085908143317855</v>
      </c>
      <c r="S103" s="3">
        <v>190.422</v>
      </c>
      <c r="T103" s="3">
        <v>131.994</v>
      </c>
      <c r="U103" s="3">
        <v>131.994</v>
      </c>
      <c r="V103" s="3">
        <v>244.721</v>
      </c>
      <c r="W103" s="2">
        <v>188.691</v>
      </c>
      <c r="X103" s="2">
        <v>161.142</v>
      </c>
      <c r="Y103">
        <f t="shared" si="29"/>
        <v>1.283988326848249</v>
      </c>
      <c r="Z103">
        <f t="shared" si="30"/>
        <v>1.283988326848249</v>
      </c>
      <c r="AA103">
        <f t="shared" si="31"/>
        <v>2.2472084481175387</v>
      </c>
      <c r="AB103">
        <f t="shared" si="32"/>
        <v>1.6624757709251101</v>
      </c>
      <c r="AC103">
        <f t="shared" si="33"/>
        <v>1.1082668500687758</v>
      </c>
    </row>
    <row r="104" spans="1:29" x14ac:dyDescent="0.3">
      <c r="A104" s="5">
        <v>45078</v>
      </c>
      <c r="B104">
        <v>1.237486687965921</v>
      </c>
      <c r="C104">
        <v>1.6017069701280231</v>
      </c>
      <c r="D104">
        <v>1.193617021276596</v>
      </c>
      <c r="E104">
        <v>1.239482200647249</v>
      </c>
      <c r="M104">
        <v>1.3839285714285721</v>
      </c>
      <c r="N104">
        <v>1.568340827338129</v>
      </c>
      <c r="P104">
        <v>1.0990320381731431</v>
      </c>
      <c r="Q104">
        <v>1.372207599379091</v>
      </c>
      <c r="R104">
        <v>1.01543699583145</v>
      </c>
      <c r="S104" s="3">
        <v>190.02</v>
      </c>
      <c r="T104" s="3">
        <v>128.285</v>
      </c>
      <c r="U104" s="3">
        <v>128.285</v>
      </c>
      <c r="V104" s="3">
        <v>240.33500000000001</v>
      </c>
      <c r="W104" s="2">
        <v>188.87899999999999</v>
      </c>
      <c r="X104" s="2">
        <v>161.22800000000001</v>
      </c>
      <c r="Y104">
        <f t="shared" si="29"/>
        <v>1.2479085603112841</v>
      </c>
      <c r="Z104">
        <f t="shared" si="30"/>
        <v>1.2479085603112841</v>
      </c>
      <c r="AA104">
        <f t="shared" si="31"/>
        <v>2.2069329660238752</v>
      </c>
      <c r="AB104">
        <f t="shared" si="32"/>
        <v>1.6641321585903084</v>
      </c>
      <c r="AC104">
        <f t="shared" si="33"/>
        <v>1.1088583218707015</v>
      </c>
    </row>
    <row r="105" spans="1:29" x14ac:dyDescent="0.3">
      <c r="A105" s="5">
        <v>45108</v>
      </c>
      <c r="B105">
        <v>1.2353567625133119</v>
      </c>
      <c r="C105">
        <v>1.553342816500711</v>
      </c>
      <c r="D105">
        <v>1.1989361702127661</v>
      </c>
      <c r="E105">
        <v>1.230852211434736</v>
      </c>
      <c r="M105">
        <v>1.3526785714285721</v>
      </c>
      <c r="N105">
        <v>1.5070143884892091</v>
      </c>
      <c r="P105">
        <v>1.089931833674165</v>
      </c>
      <c r="Q105">
        <v>1.3848410930816279</v>
      </c>
      <c r="R105">
        <v>1.025683864031699</v>
      </c>
      <c r="S105" s="3">
        <v>189.89400000000001</v>
      </c>
      <c r="T105" s="3">
        <v>128.05799999999999</v>
      </c>
      <c r="U105" s="3">
        <v>128.05799999999999</v>
      </c>
      <c r="V105" s="3">
        <v>238.21</v>
      </c>
      <c r="W105" s="2">
        <v>190.68700000000001</v>
      </c>
      <c r="X105" s="2">
        <v>159.893</v>
      </c>
      <c r="Y105">
        <f t="shared" si="29"/>
        <v>1.2457003891050584</v>
      </c>
      <c r="Z105">
        <f t="shared" si="30"/>
        <v>1.2457003891050584</v>
      </c>
      <c r="AA105">
        <f t="shared" si="31"/>
        <v>2.1874196510560147</v>
      </c>
      <c r="AB105">
        <f t="shared" si="32"/>
        <v>1.6800616740088106</v>
      </c>
      <c r="AC105">
        <f t="shared" si="33"/>
        <v>1.0996767537826684</v>
      </c>
    </row>
    <row r="106" spans="1:29" x14ac:dyDescent="0.3">
      <c r="A106" s="5">
        <v>45139</v>
      </c>
      <c r="B106">
        <v>1.234291799787008</v>
      </c>
      <c r="C106">
        <v>1.537695590327169</v>
      </c>
      <c r="D106">
        <v>1.2</v>
      </c>
      <c r="E106">
        <v>1.224379719525351</v>
      </c>
      <c r="M106">
        <v>1.333705357142857</v>
      </c>
      <c r="N106">
        <v>1.489842625899281</v>
      </c>
      <c r="P106">
        <v>1.084642126789366</v>
      </c>
      <c r="Q106">
        <v>1.425325199315709</v>
      </c>
      <c r="R106">
        <v>0.96439897021288001</v>
      </c>
      <c r="S106" s="3">
        <v>188.53800000000001</v>
      </c>
      <c r="T106" s="3">
        <v>127.517</v>
      </c>
      <c r="U106" s="3">
        <v>127.517</v>
      </c>
      <c r="V106" s="3">
        <v>233.39400000000001</v>
      </c>
      <c r="W106" s="2">
        <v>191.15199999999999</v>
      </c>
      <c r="X106" s="2">
        <v>159.11699999999999</v>
      </c>
      <c r="Y106">
        <f t="shared" si="29"/>
        <v>1.2404377431906615</v>
      </c>
      <c r="Z106">
        <f t="shared" si="30"/>
        <v>1.2404377431906615</v>
      </c>
      <c r="AA106">
        <f t="shared" si="31"/>
        <v>2.1431955922865011</v>
      </c>
      <c r="AB106">
        <f t="shared" si="32"/>
        <v>1.68415859030837</v>
      </c>
      <c r="AC106">
        <f t="shared" si="33"/>
        <v>1.0943397524071525</v>
      </c>
    </row>
    <row r="107" spans="1:29" x14ac:dyDescent="0.3">
      <c r="A107" s="5">
        <v>45170</v>
      </c>
      <c r="B107">
        <v>1.2353567625133119</v>
      </c>
      <c r="C107">
        <v>1.512091038406828</v>
      </c>
      <c r="D107">
        <v>1.2021276595744681</v>
      </c>
      <c r="E107">
        <v>1.2222222222222221</v>
      </c>
      <c r="M107">
        <v>1.324776785714286</v>
      </c>
      <c r="N107">
        <v>1.455530575539568</v>
      </c>
      <c r="P107">
        <v>1.0685753237900479</v>
      </c>
      <c r="Q107">
        <v>1.451656237847774</v>
      </c>
      <c r="R107">
        <v>0.93850141432406753</v>
      </c>
      <c r="S107" s="3">
        <v>188.65100000000001</v>
      </c>
      <c r="T107" s="3">
        <v>124.139</v>
      </c>
      <c r="U107" s="3">
        <v>124.139</v>
      </c>
      <c r="V107" s="3">
        <v>232.49100000000001</v>
      </c>
      <c r="W107" s="2">
        <v>192.01</v>
      </c>
      <c r="X107" s="2">
        <v>156.76</v>
      </c>
      <c r="Y107">
        <f t="shared" si="29"/>
        <v>1.2075778210116732</v>
      </c>
      <c r="Z107">
        <f t="shared" si="30"/>
        <v>1.2075778210116732</v>
      </c>
      <c r="AA107">
        <f t="shared" si="31"/>
        <v>2.1349035812672175</v>
      </c>
      <c r="AB107">
        <f t="shared" si="32"/>
        <v>1.6917180616740086</v>
      </c>
      <c r="AC107">
        <f t="shared" si="33"/>
        <v>1.0781292984869324</v>
      </c>
    </row>
    <row r="108" spans="1:29" x14ac:dyDescent="0.3">
      <c r="A108" s="5">
        <v>45200</v>
      </c>
      <c r="B108">
        <v>1.2321618743343981</v>
      </c>
      <c r="C108">
        <v>1.4907539118065429</v>
      </c>
      <c r="D108">
        <v>1.2021276595744681</v>
      </c>
      <c r="E108">
        <v>1.217907227615965</v>
      </c>
      <c r="M108">
        <v>1.315848214285714</v>
      </c>
      <c r="N108">
        <v>1.4247976618705041</v>
      </c>
      <c r="P108">
        <v>1.0685753237900479</v>
      </c>
      <c r="Q108">
        <v>1.420732941891071</v>
      </c>
      <c r="R108">
        <v>0.92456985846036388</v>
      </c>
      <c r="S108" s="3">
        <v>188.36500000000001</v>
      </c>
      <c r="T108" s="3">
        <v>124.372</v>
      </c>
      <c r="U108" s="3">
        <v>124.372</v>
      </c>
      <c r="V108" s="3">
        <v>237.37</v>
      </c>
      <c r="W108" s="2">
        <v>191.57599999999999</v>
      </c>
      <c r="X108" s="2">
        <v>156.76</v>
      </c>
      <c r="Y108">
        <f t="shared" si="29"/>
        <v>1.2098443579766538</v>
      </c>
      <c r="Z108">
        <f t="shared" si="30"/>
        <v>1.2098443579766538</v>
      </c>
      <c r="AA108">
        <f t="shared" si="31"/>
        <v>2.1797061524334249</v>
      </c>
      <c r="AB108">
        <f t="shared" si="32"/>
        <v>1.6878942731277533</v>
      </c>
      <c r="AC108">
        <f t="shared" si="33"/>
        <v>1.0781292984869324</v>
      </c>
    </row>
    <row r="109" spans="1:29" x14ac:dyDescent="0.3">
      <c r="A109" s="5">
        <v>45231</v>
      </c>
      <c r="B109">
        <v>1.2310969116080941</v>
      </c>
      <c r="C109">
        <v>1.479374110953058</v>
      </c>
      <c r="D109">
        <v>1.204255319148936</v>
      </c>
      <c r="E109">
        <v>1.2168284789644011</v>
      </c>
      <c r="M109">
        <v>1.306919642857143</v>
      </c>
      <c r="N109">
        <v>1.414428956834533</v>
      </c>
      <c r="P109">
        <v>1.060293115201091</v>
      </c>
      <c r="Q109">
        <v>1.342714449618682</v>
      </c>
      <c r="R109">
        <v>0.96286128374342994</v>
      </c>
      <c r="S109" s="3">
        <v>188.227</v>
      </c>
      <c r="T109" s="3">
        <v>125.051</v>
      </c>
      <c r="U109" s="3">
        <v>125.051</v>
      </c>
      <c r="V109" s="3">
        <v>232.221</v>
      </c>
      <c r="W109" s="2">
        <v>192.18700000000001</v>
      </c>
      <c r="X109" s="2">
        <v>155.54499999999999</v>
      </c>
      <c r="Y109">
        <f t="shared" si="29"/>
        <v>1.2164494163424124</v>
      </c>
      <c r="Z109">
        <f t="shared" si="30"/>
        <v>1.2164494163424124</v>
      </c>
      <c r="AA109">
        <f t="shared" si="31"/>
        <v>2.1324242424242423</v>
      </c>
      <c r="AB109">
        <f t="shared" si="32"/>
        <v>1.6932775330396477</v>
      </c>
      <c r="AC109">
        <f t="shared" si="33"/>
        <v>1.0697730398899585</v>
      </c>
    </row>
    <row r="110" spans="1:29" x14ac:dyDescent="0.3">
      <c r="A110" s="5">
        <v>45261</v>
      </c>
      <c r="B110">
        <v>1.2289669861554851</v>
      </c>
      <c r="C110">
        <v>1.4765291607396871</v>
      </c>
      <c r="D110">
        <v>1.2063829787234039</v>
      </c>
      <c r="E110">
        <v>1.2135922330097091</v>
      </c>
      <c r="M110">
        <v>1.297991071428571</v>
      </c>
      <c r="N110">
        <v>1.46359262589928</v>
      </c>
      <c r="P110">
        <v>1.060231765507839</v>
      </c>
      <c r="Q110">
        <v>1.342348075087497</v>
      </c>
      <c r="R110">
        <v>1.0169848279132301</v>
      </c>
      <c r="S110" s="3">
        <v>188.26400000000001</v>
      </c>
      <c r="T110" s="3">
        <v>125.072</v>
      </c>
      <c r="U110" s="3">
        <v>125.072</v>
      </c>
      <c r="V110" s="3">
        <v>227.60300000000001</v>
      </c>
      <c r="W110" s="2">
        <v>192.89699999999999</v>
      </c>
      <c r="X110" s="2">
        <v>155.536</v>
      </c>
      <c r="Y110">
        <f t="shared" si="29"/>
        <v>1.2166536964980545</v>
      </c>
      <c r="Z110">
        <f t="shared" si="30"/>
        <v>1.2166536964980545</v>
      </c>
      <c r="AA110">
        <f t="shared" si="31"/>
        <v>2.0900183654729108</v>
      </c>
      <c r="AB110">
        <f t="shared" si="32"/>
        <v>1.699533039647577</v>
      </c>
      <c r="AC110">
        <f t="shared" si="33"/>
        <v>1.0697111416781293</v>
      </c>
    </row>
    <row r="111" spans="1:29" x14ac:dyDescent="0.3">
      <c r="A111" s="5">
        <v>45292</v>
      </c>
      <c r="B111">
        <v>1.230031948881789</v>
      </c>
      <c r="C111">
        <v>1.4765291607396871</v>
      </c>
      <c r="D111">
        <v>1.2063829787234039</v>
      </c>
      <c r="E111">
        <v>1.209277238403452</v>
      </c>
      <c r="M111">
        <v>1.283482142857143</v>
      </c>
      <c r="N111">
        <v>1.5214118705035971</v>
      </c>
      <c r="P111">
        <v>1.060231765507839</v>
      </c>
      <c r="Q111">
        <v>1.367580129756947</v>
      </c>
      <c r="R111">
        <v>1.0030938645525389</v>
      </c>
      <c r="S111" s="3">
        <v>188.255</v>
      </c>
      <c r="T111" s="3">
        <v>124.964</v>
      </c>
      <c r="U111" s="3">
        <v>124.964</v>
      </c>
      <c r="V111" s="3">
        <v>230.21</v>
      </c>
      <c r="W111" s="2">
        <v>193.07499999999999</v>
      </c>
      <c r="X111" s="2">
        <v>155.536</v>
      </c>
      <c r="Y111">
        <f t="shared" si="29"/>
        <v>1.215603112840467</v>
      </c>
      <c r="Z111">
        <f t="shared" si="30"/>
        <v>1.215603112840467</v>
      </c>
      <c r="AA111">
        <f t="shared" si="31"/>
        <v>2.1139577594123047</v>
      </c>
      <c r="AB111">
        <f t="shared" si="32"/>
        <v>1.701101321585903</v>
      </c>
      <c r="AC111">
        <f t="shared" si="33"/>
        <v>1.0697111416781293</v>
      </c>
    </row>
    <row r="112" spans="1:29" x14ac:dyDescent="0.3">
      <c r="A112" s="5">
        <v>45323</v>
      </c>
      <c r="B112">
        <v>1.2310969116080941</v>
      </c>
      <c r="C112">
        <v>1.4779516358463729</v>
      </c>
      <c r="D112">
        <v>1.213829787234042</v>
      </c>
      <c r="E112">
        <v>1.209277238403452</v>
      </c>
      <c r="M112">
        <v>1.2823660714285721</v>
      </c>
      <c r="N112">
        <v>1.5500854316546759</v>
      </c>
      <c r="P112">
        <v>1.063401499659169</v>
      </c>
      <c r="Q112">
        <v>1.475165270265492</v>
      </c>
      <c r="R112">
        <v>0.95258178207689193</v>
      </c>
      <c r="S112" s="3">
        <v>183.68700000000001</v>
      </c>
      <c r="T112" s="3">
        <v>126.172</v>
      </c>
      <c r="U112" s="3">
        <v>126.172</v>
      </c>
      <c r="V112" s="3">
        <v>226.273</v>
      </c>
      <c r="W112" s="2">
        <v>193.001</v>
      </c>
      <c r="X112" s="2">
        <v>156.001</v>
      </c>
      <c r="Y112">
        <f t="shared" si="29"/>
        <v>1.2273540856031129</v>
      </c>
      <c r="Z112">
        <f t="shared" si="30"/>
        <v>1.2273540856031129</v>
      </c>
      <c r="AA112">
        <f t="shared" si="31"/>
        <v>2.0778053259871441</v>
      </c>
      <c r="AB112">
        <f t="shared" si="32"/>
        <v>1.7004493392070485</v>
      </c>
      <c r="AC112">
        <f t="shared" si="33"/>
        <v>1.0729092159559834</v>
      </c>
    </row>
    <row r="113" spans="1:29" x14ac:dyDescent="0.3">
      <c r="A113" s="5">
        <v>45352</v>
      </c>
      <c r="B113">
        <v>1.234291799787008</v>
      </c>
      <c r="C113">
        <v>1.4779516358463729</v>
      </c>
      <c r="D113">
        <v>1.213829787234042</v>
      </c>
      <c r="E113">
        <v>1.210355987055016</v>
      </c>
      <c r="M113">
        <v>1.285714285714286</v>
      </c>
      <c r="N113">
        <v>1.4439613309352519</v>
      </c>
      <c r="P113">
        <v>1.062038173142468</v>
      </c>
      <c r="Q113">
        <v>1.478311591897338</v>
      </c>
      <c r="R113">
        <v>0.96534207697830243</v>
      </c>
      <c r="S113" s="3">
        <v>184.00299999999999</v>
      </c>
      <c r="T113" s="3">
        <v>126.008</v>
      </c>
      <c r="U113" s="3">
        <v>126.008</v>
      </c>
      <c r="V113" s="3">
        <v>225.65600000000001</v>
      </c>
      <c r="W113" s="2">
        <v>186.22499999999999</v>
      </c>
      <c r="X113" s="2">
        <v>155.80099999999999</v>
      </c>
      <c r="Y113">
        <f t="shared" si="29"/>
        <v>1.2257587548638131</v>
      </c>
      <c r="Z113">
        <f t="shared" si="30"/>
        <v>1.2257587548638131</v>
      </c>
      <c r="AA113">
        <f t="shared" si="31"/>
        <v>2.0721395775941231</v>
      </c>
      <c r="AB113">
        <f t="shared" si="32"/>
        <v>1.640748898678414</v>
      </c>
      <c r="AC113">
        <f t="shared" si="33"/>
        <v>1.0715337001375516</v>
      </c>
    </row>
    <row r="114" spans="1:29" x14ac:dyDescent="0.3">
      <c r="A114" s="5">
        <v>45383</v>
      </c>
      <c r="B114">
        <v>1.2332268370607029</v>
      </c>
      <c r="C114">
        <v>1.4822190611664301</v>
      </c>
      <c r="D114">
        <v>1.214893617021277</v>
      </c>
      <c r="E114">
        <v>1.21143473570658</v>
      </c>
      <c r="M114">
        <v>1.285714285714286</v>
      </c>
      <c r="N114">
        <v>1.412446043165468</v>
      </c>
      <c r="P114">
        <v>1.062038173142468</v>
      </c>
      <c r="Q114">
        <v>1.345245326314368</v>
      </c>
      <c r="R114">
        <v>0.957551450074271</v>
      </c>
      <c r="S114" s="3">
        <v>184.80799999999999</v>
      </c>
      <c r="T114" s="3">
        <v>125.58499999999999</v>
      </c>
      <c r="U114" s="3">
        <v>125.58499999999999</v>
      </c>
      <c r="V114" s="3">
        <v>230.28100000000001</v>
      </c>
      <c r="W114" s="2">
        <v>194.69499999999999</v>
      </c>
      <c r="X114" s="2">
        <v>155.80099999999999</v>
      </c>
      <c r="Y114">
        <f t="shared" si="29"/>
        <v>1.2216439688715952</v>
      </c>
      <c r="Z114">
        <f t="shared" si="30"/>
        <v>1.2216439688715952</v>
      </c>
      <c r="AA114">
        <f t="shared" si="31"/>
        <v>2.1146097337006426</v>
      </c>
      <c r="AB114">
        <f t="shared" si="32"/>
        <v>1.7153744493392069</v>
      </c>
      <c r="AC114">
        <f t="shared" si="33"/>
        <v>1.0715337001375516</v>
      </c>
    </row>
    <row r="115" spans="1:29" x14ac:dyDescent="0.3">
      <c r="A115" s="5">
        <v>45413</v>
      </c>
      <c r="B115">
        <v>1.2332268370607029</v>
      </c>
      <c r="C115">
        <v>1.4779516358463729</v>
      </c>
      <c r="D115">
        <v>1.219148936170213</v>
      </c>
      <c r="E115">
        <v>1.2135922330097091</v>
      </c>
      <c r="M115">
        <v>1.310267857142857</v>
      </c>
      <c r="N115">
        <v>1.412625899280576</v>
      </c>
      <c r="P115">
        <v>1.062038173142468</v>
      </c>
      <c r="Q115">
        <v>1.2752654852974401</v>
      </c>
      <c r="R115">
        <v>0.95948285228718233</v>
      </c>
      <c r="S115" s="3">
        <v>183.82</v>
      </c>
      <c r="T115" s="3">
        <v>126.857</v>
      </c>
      <c r="U115" s="3">
        <v>126.857</v>
      </c>
      <c r="V115" s="3">
        <v>227.02699999999999</v>
      </c>
      <c r="W115" s="2">
        <v>195.17</v>
      </c>
      <c r="X115" s="2">
        <v>155.80099999999999</v>
      </c>
      <c r="Y115">
        <f t="shared" si="29"/>
        <v>1.2340175097276265</v>
      </c>
      <c r="Z115">
        <f t="shared" si="30"/>
        <v>1.2340175097276265</v>
      </c>
      <c r="AA115">
        <f t="shared" si="31"/>
        <v>2.0847291092745635</v>
      </c>
      <c r="AB115">
        <f t="shared" si="32"/>
        <v>1.7195594713656386</v>
      </c>
      <c r="AC115">
        <f t="shared" si="33"/>
        <v>1.0715337001375516</v>
      </c>
    </row>
    <row r="116" spans="1:29" x14ac:dyDescent="0.3">
      <c r="A116" s="5">
        <v>45444</v>
      </c>
      <c r="B116">
        <v>1.2332268370607029</v>
      </c>
      <c r="C116">
        <v>1.4722617354196299</v>
      </c>
      <c r="D116">
        <v>1.213829787234042</v>
      </c>
      <c r="E116">
        <v>1.2135922330097091</v>
      </c>
      <c r="M116">
        <v>1.330357142857143</v>
      </c>
      <c r="N116">
        <v>1.3876393884892091</v>
      </c>
      <c r="P116">
        <v>1.062038173142468</v>
      </c>
      <c r="Q116">
        <v>1.2359317000742389</v>
      </c>
      <c r="R116">
        <v>0.97612558462995924</v>
      </c>
      <c r="S116" s="3">
        <v>183.78700000000001</v>
      </c>
      <c r="T116" s="3">
        <v>126.589</v>
      </c>
      <c r="U116" s="3">
        <v>126.589</v>
      </c>
      <c r="V116" s="3">
        <v>224.27199999999999</v>
      </c>
      <c r="W116" s="2">
        <v>195.44800000000001</v>
      </c>
      <c r="X116" s="2">
        <v>155.80099999999999</v>
      </c>
      <c r="Y116">
        <f t="shared" si="29"/>
        <v>1.2314105058365759</v>
      </c>
      <c r="Z116">
        <f t="shared" si="30"/>
        <v>1.2314105058365759</v>
      </c>
      <c r="AA116">
        <f t="shared" si="31"/>
        <v>2.0594306703397609</v>
      </c>
      <c r="AB116">
        <f t="shared" si="32"/>
        <v>1.7220088105726874</v>
      </c>
      <c r="AC116">
        <f t="shared" si="33"/>
        <v>1.0715337001375516</v>
      </c>
    </row>
    <row r="117" spans="1:29" x14ac:dyDescent="0.3">
      <c r="A117" s="5">
        <v>45474</v>
      </c>
      <c r="B117">
        <v>1.236421725239617</v>
      </c>
      <c r="C117">
        <v>1.466571834992888</v>
      </c>
      <c r="D117">
        <v>1.219148936170213</v>
      </c>
      <c r="E117">
        <v>1.2125134843581451</v>
      </c>
      <c r="M117">
        <v>1.340401785714286</v>
      </c>
      <c r="N117">
        <v>1.354685251798561</v>
      </c>
      <c r="P117">
        <v>1.062038173142468</v>
      </c>
      <c r="Q117">
        <v>1.2083535069881539</v>
      </c>
      <c r="R117">
        <v>0.94470810613010758</v>
      </c>
      <c r="S117" s="3">
        <v>183.68199999999999</v>
      </c>
      <c r="T117" s="3">
        <v>126.55500000000001</v>
      </c>
      <c r="U117" s="3">
        <v>126.55500000000001</v>
      </c>
      <c r="V117" s="3">
        <v>226.01400000000001</v>
      </c>
      <c r="W117" s="2">
        <v>195.155</v>
      </c>
      <c r="X117" s="2">
        <v>155.80099999999999</v>
      </c>
      <c r="Y117">
        <f t="shared" si="29"/>
        <v>1.231079766536965</v>
      </c>
      <c r="Z117">
        <f t="shared" si="30"/>
        <v>1.231079766536965</v>
      </c>
      <c r="AA117">
        <f t="shared" si="31"/>
        <v>2.0754269972451791</v>
      </c>
      <c r="AB117">
        <f t="shared" si="32"/>
        <v>1.7194273127753303</v>
      </c>
      <c r="AC117">
        <f t="shared" si="33"/>
        <v>1.0715337001375516</v>
      </c>
    </row>
    <row r="118" spans="1:29" x14ac:dyDescent="0.3">
      <c r="A118" s="5">
        <v>45505</v>
      </c>
      <c r="B118">
        <v>1.237486687965921</v>
      </c>
      <c r="C118">
        <v>1.4580369843527741</v>
      </c>
      <c r="D118">
        <v>1.2234042553191491</v>
      </c>
      <c r="E118">
        <v>1.2135922330097091</v>
      </c>
      <c r="M118">
        <v>1.332589285714286</v>
      </c>
      <c r="N118">
        <v>1.3285251798561151</v>
      </c>
      <c r="P118">
        <v>1.062038173142468</v>
      </c>
      <c r="Q118">
        <v>1.1867449551191209</v>
      </c>
      <c r="R118">
        <v>0.94477762885242556</v>
      </c>
      <c r="S118" s="3">
        <v>184.72900000000001</v>
      </c>
      <c r="T118" s="3">
        <v>128.93199999999999</v>
      </c>
      <c r="U118" s="3">
        <v>128.93199999999999</v>
      </c>
      <c r="V118" s="3">
        <v>223.34</v>
      </c>
      <c r="W118" s="2">
        <v>196.285</v>
      </c>
      <c r="X118" s="2">
        <v>155.80099999999999</v>
      </c>
      <c r="Y118">
        <f t="shared" si="29"/>
        <v>1.2542023346303501</v>
      </c>
      <c r="Z118">
        <f t="shared" si="30"/>
        <v>1.2542023346303501</v>
      </c>
      <c r="AA118">
        <f t="shared" si="31"/>
        <v>2.050872359963269</v>
      </c>
      <c r="AB118">
        <f t="shared" si="32"/>
        <v>1.7293832599118943</v>
      </c>
      <c r="AC118">
        <f t="shared" si="33"/>
        <v>1.0715337001375516</v>
      </c>
    </row>
    <row r="119" spans="1:29" x14ac:dyDescent="0.3">
      <c r="A119" s="5">
        <v>45536</v>
      </c>
      <c r="B119">
        <v>1.2353567625133119</v>
      </c>
      <c r="C119">
        <v>1.4495021337126599</v>
      </c>
      <c r="D119">
        <v>1.2244680851063829</v>
      </c>
      <c r="E119">
        <v>1.2135922330097091</v>
      </c>
      <c r="M119">
        <v>1.330357142857143</v>
      </c>
      <c r="N119">
        <v>1.310773381294964</v>
      </c>
      <c r="P119">
        <v>1.062038173142468</v>
      </c>
      <c r="Q119">
        <v>1.22579276699544</v>
      </c>
      <c r="R119">
        <v>0.94130249092462837</v>
      </c>
      <c r="S119" s="3">
        <v>185.36799999999999</v>
      </c>
      <c r="T119" s="3">
        <v>129.47800000000001</v>
      </c>
      <c r="U119" s="3">
        <v>129.47800000000001</v>
      </c>
      <c r="V119" s="3">
        <v>219.69399999999999</v>
      </c>
      <c r="W119" s="2">
        <v>196.036</v>
      </c>
      <c r="X119" s="2">
        <v>155.80099999999999</v>
      </c>
      <c r="Y119">
        <f t="shared" si="29"/>
        <v>1.2595136186770428</v>
      </c>
      <c r="Z119">
        <f t="shared" si="30"/>
        <v>1.2595136186770428</v>
      </c>
      <c r="AA119">
        <f t="shared" si="31"/>
        <v>2.0173921028466482</v>
      </c>
      <c r="AB119">
        <f t="shared" si="32"/>
        <v>1.7271894273127752</v>
      </c>
      <c r="AC119">
        <f t="shared" si="33"/>
        <v>1.0715337001375516</v>
      </c>
    </row>
    <row r="120" spans="1:29" x14ac:dyDescent="0.3">
      <c r="A120" s="5">
        <v>45566</v>
      </c>
      <c r="B120">
        <v>1.2332268370607029</v>
      </c>
      <c r="C120">
        <v>1.432432432432432</v>
      </c>
      <c r="D120">
        <v>1.222340425531915</v>
      </c>
      <c r="E120">
        <v>1.2146709816612731</v>
      </c>
      <c r="M120">
        <v>1.334821428571429</v>
      </c>
      <c r="N120">
        <v>1.3229991007194239</v>
      </c>
      <c r="P120">
        <v>1.062038173142468</v>
      </c>
      <c r="Q120">
        <v>1.242664859107194</v>
      </c>
      <c r="R120">
        <v>0.9689442275166319</v>
      </c>
      <c r="S120" s="3">
        <v>184.65299999999999</v>
      </c>
      <c r="T120" s="3">
        <v>129.863</v>
      </c>
      <c r="U120" s="3">
        <v>129.863</v>
      </c>
      <c r="V120" s="3">
        <v>216.09700000000001</v>
      </c>
      <c r="W120" s="2">
        <v>196.07499999999999</v>
      </c>
      <c r="X120" s="2">
        <v>155.80099999999999</v>
      </c>
      <c r="Y120">
        <f t="shared" si="29"/>
        <v>1.2632587548638132</v>
      </c>
      <c r="Z120">
        <f t="shared" si="30"/>
        <v>1.2632587548638132</v>
      </c>
      <c r="AA120">
        <f t="shared" si="31"/>
        <v>1.9843617998163452</v>
      </c>
      <c r="AB120">
        <f t="shared" si="32"/>
        <v>1.727533039647577</v>
      </c>
      <c r="AC120">
        <f t="shared" si="33"/>
        <v>1.0715337001375516</v>
      </c>
    </row>
    <row r="121" spans="1:29" x14ac:dyDescent="0.3">
      <c r="A121" s="5">
        <v>45597</v>
      </c>
      <c r="B121">
        <v>1.230031948881789</v>
      </c>
      <c r="C121">
        <v>1.421052631578948</v>
      </c>
      <c r="D121">
        <v>1.2234042553191491</v>
      </c>
      <c r="E121">
        <v>1.21143473570658</v>
      </c>
      <c r="M121">
        <v>1.3515625</v>
      </c>
      <c r="N121">
        <v>1.3395278776978421</v>
      </c>
      <c r="P121">
        <v>1.0678936605316971</v>
      </c>
      <c r="Q121">
        <v>1.210874253190511</v>
      </c>
      <c r="R121">
        <v>0.94818826515936416</v>
      </c>
      <c r="S121" s="3">
        <v>183.34100000000001</v>
      </c>
      <c r="T121" s="3">
        <v>128.69399999999999</v>
      </c>
      <c r="U121" s="3">
        <v>128.69399999999999</v>
      </c>
      <c r="V121" s="3">
        <v>217.03200000000001</v>
      </c>
      <c r="W121" s="2">
        <v>195.911</v>
      </c>
      <c r="X121" s="2">
        <v>156.66</v>
      </c>
      <c r="Y121">
        <f t="shared" si="29"/>
        <v>1.2518871595330738</v>
      </c>
      <c r="Z121">
        <f t="shared" si="30"/>
        <v>1.2518871595330738</v>
      </c>
      <c r="AA121">
        <f t="shared" si="31"/>
        <v>1.9929476584022039</v>
      </c>
      <c r="AB121">
        <f t="shared" si="32"/>
        <v>1.7260881057268722</v>
      </c>
      <c r="AC121">
        <f t="shared" si="33"/>
        <v>1.0774415405777167</v>
      </c>
    </row>
    <row r="122" spans="1:29" x14ac:dyDescent="0.3">
      <c r="A122" s="5">
        <v>45627</v>
      </c>
      <c r="B122">
        <v>1.222577209797657</v>
      </c>
      <c r="C122">
        <v>1.4167852062588899</v>
      </c>
      <c r="D122">
        <v>1.2212765957446809</v>
      </c>
      <c r="E122">
        <v>1.210355987055016</v>
      </c>
      <c r="M122">
        <v>1.361607142857143</v>
      </c>
      <c r="N122">
        <v>1.295809352517985</v>
      </c>
      <c r="P122">
        <v>1.0678936605316971</v>
      </c>
      <c r="Q122">
        <v>1.186407504893028</v>
      </c>
      <c r="R122">
        <v>0.9364028366390974</v>
      </c>
      <c r="S122" s="3">
        <v>183.70099999999999</v>
      </c>
      <c r="T122" s="3">
        <v>128.96</v>
      </c>
      <c r="U122" s="3">
        <v>128.96</v>
      </c>
      <c r="V122" s="3">
        <v>212.691</v>
      </c>
      <c r="W122" s="2">
        <v>195.56399999999999</v>
      </c>
      <c r="X122" s="2">
        <v>156.66</v>
      </c>
      <c r="Y122">
        <f t="shared" si="29"/>
        <v>1.2544747081712064</v>
      </c>
      <c r="Z122">
        <f t="shared" si="30"/>
        <v>1.2544747081712064</v>
      </c>
      <c r="AA122">
        <f t="shared" si="31"/>
        <v>1.9530853994490358</v>
      </c>
      <c r="AB122">
        <f t="shared" si="32"/>
        <v>1.7230308370044052</v>
      </c>
      <c r="AC122">
        <f t="shared" si="33"/>
        <v>1.0774415405777167</v>
      </c>
    </row>
    <row r="123" spans="1:29" x14ac:dyDescent="0.3">
      <c r="A123" s="5">
        <v>45658</v>
      </c>
      <c r="B123">
        <v>1.222577209797657</v>
      </c>
      <c r="C123">
        <v>1.4082503556187771</v>
      </c>
      <c r="D123">
        <v>1.2276595744680849</v>
      </c>
      <c r="E123">
        <v>1.2125134843581451</v>
      </c>
      <c r="M123">
        <v>1.379464285714286</v>
      </c>
      <c r="N123">
        <v>1.2889163669064749</v>
      </c>
      <c r="P123">
        <v>1.086182685753238</v>
      </c>
      <c r="Q123">
        <v>1.1616474613472769</v>
      </c>
      <c r="R123">
        <v>0.94680725400308685</v>
      </c>
      <c r="S123" s="3">
        <v>184.73699999999999</v>
      </c>
      <c r="T123" s="3">
        <v>128.69800000000001</v>
      </c>
      <c r="U123" s="3">
        <v>128.69800000000001</v>
      </c>
      <c r="V123" s="3">
        <v>213.67400000000001</v>
      </c>
      <c r="W123" s="2">
        <v>195.43100000000001</v>
      </c>
      <c r="X123" s="2">
        <v>159.34299999999999</v>
      </c>
      <c r="Y123">
        <f t="shared" si="29"/>
        <v>1.2519260700389105</v>
      </c>
      <c r="Z123">
        <f t="shared" si="30"/>
        <v>1.2519260700389105</v>
      </c>
      <c r="AA123">
        <f t="shared" si="31"/>
        <v>1.9621120293847567</v>
      </c>
      <c r="AB123">
        <f t="shared" si="32"/>
        <v>1.7218590308370045</v>
      </c>
      <c r="AC123">
        <f t="shared" si="33"/>
        <v>1.0958940852819807</v>
      </c>
    </row>
    <row r="124" spans="1:29" x14ac:dyDescent="0.3">
      <c r="A124" s="5">
        <v>45689</v>
      </c>
      <c r="B124">
        <v>1.2236421725239619</v>
      </c>
      <c r="C124">
        <v>1.411095305832148</v>
      </c>
      <c r="D124">
        <v>1.235106382978723</v>
      </c>
      <c r="E124">
        <v>1.21143473570658</v>
      </c>
      <c r="M124">
        <v>1.3917410714285721</v>
      </c>
      <c r="N124">
        <v>1.3333947841726621</v>
      </c>
      <c r="P124">
        <v>1.086182685753238</v>
      </c>
      <c r="Q124">
        <v>1.159576837416481</v>
      </c>
      <c r="R124">
        <v>0.96562797815067691</v>
      </c>
      <c r="S124" s="3">
        <v>185.072</v>
      </c>
      <c r="T124" s="3">
        <v>129.57400000000001</v>
      </c>
      <c r="U124" s="3">
        <v>129.57400000000001</v>
      </c>
      <c r="V124" s="3">
        <v>209.75</v>
      </c>
      <c r="W124" s="2">
        <v>194.22399999999999</v>
      </c>
      <c r="X124" s="2">
        <v>159.34299999999999</v>
      </c>
      <c r="Y124">
        <f t="shared" si="29"/>
        <v>1.2604474708171207</v>
      </c>
      <c r="Z124">
        <f t="shared" si="30"/>
        <v>1.2604474708171207</v>
      </c>
      <c r="AA124">
        <f t="shared" si="31"/>
        <v>1.9260789715335169</v>
      </c>
      <c r="AB124">
        <f t="shared" si="32"/>
        <v>1.711224669603524</v>
      </c>
      <c r="AC124">
        <f t="shared" si="33"/>
        <v>1.0958940852819807</v>
      </c>
    </row>
    <row r="125" spans="1:29" x14ac:dyDescent="0.3">
      <c r="A125" s="5">
        <v>45717</v>
      </c>
      <c r="B125">
        <v>1.221512247071352</v>
      </c>
      <c r="C125">
        <v>1.4125177809388341</v>
      </c>
      <c r="D125">
        <v>1.235106382978723</v>
      </c>
      <c r="E125">
        <v>1.2125134843581451</v>
      </c>
      <c r="M125">
        <v>1.396205357142857</v>
      </c>
      <c r="N125">
        <v>1.407356115107913</v>
      </c>
      <c r="P125">
        <v>1.086182685753238</v>
      </c>
      <c r="Q125">
        <v>1.152755682822499</v>
      </c>
      <c r="R125">
        <v>1.0066398666525289</v>
      </c>
      <c r="S125" s="3">
        <v>185.9</v>
      </c>
      <c r="T125" s="3">
        <v>129.78100000000001</v>
      </c>
      <c r="U125" s="3">
        <v>129.78100000000001</v>
      </c>
      <c r="V125" s="3">
        <v>208.65799999999999</v>
      </c>
      <c r="W125" s="2">
        <v>192.57599999999999</v>
      </c>
      <c r="X125" s="2">
        <v>159.34299999999999</v>
      </c>
      <c r="Y125">
        <f t="shared" si="29"/>
        <v>1.2624610894941635</v>
      </c>
      <c r="Z125">
        <f t="shared" si="30"/>
        <v>1.2624610894941635</v>
      </c>
      <c r="AA125">
        <f t="shared" si="31"/>
        <v>1.9160514233241503</v>
      </c>
      <c r="AB125">
        <f t="shared" si="32"/>
        <v>1.6967048458149778</v>
      </c>
      <c r="AC125">
        <f t="shared" si="33"/>
        <v>1.0958940852819807</v>
      </c>
    </row>
    <row r="126" spans="1:29" x14ac:dyDescent="0.3">
      <c r="A126" s="5">
        <v>45748</v>
      </c>
      <c r="B126">
        <v>1.222577209797657</v>
      </c>
      <c r="C126">
        <v>1.421052631578948</v>
      </c>
      <c r="D126">
        <v>1.2265957446808511</v>
      </c>
      <c r="E126">
        <v>1.2125134843581451</v>
      </c>
      <c r="M126">
        <v>1.385044642857143</v>
      </c>
      <c r="N126">
        <v>1.4417356115107911</v>
      </c>
      <c r="P126">
        <v>1.086182685753238</v>
      </c>
      <c r="Q126">
        <v>1.162313558750085</v>
      </c>
      <c r="R126">
        <v>1.0042014154684029</v>
      </c>
      <c r="S126" s="3">
        <v>186.797</v>
      </c>
      <c r="T126" s="3">
        <v>129.41200000000001</v>
      </c>
      <c r="U126" s="3">
        <v>129.41200000000001</v>
      </c>
      <c r="V126" s="3">
        <v>208.37799999999999</v>
      </c>
      <c r="W126" s="2">
        <v>195.99700000000001</v>
      </c>
      <c r="X126" s="2">
        <v>159.34299999999999</v>
      </c>
      <c r="Y126">
        <f t="shared" si="29"/>
        <v>1.2588715953307394</v>
      </c>
      <c r="Z126">
        <f t="shared" si="30"/>
        <v>1.2588715953307394</v>
      </c>
      <c r="AA126">
        <f t="shared" si="31"/>
        <v>1.9134802571166205</v>
      </c>
      <c r="AB126">
        <f t="shared" si="32"/>
        <v>1.7268458149779737</v>
      </c>
      <c r="AC126">
        <f t="shared" si="33"/>
        <v>1.0958940852819807</v>
      </c>
    </row>
    <row r="127" spans="1:29" x14ac:dyDescent="0.3">
      <c r="A127" s="5">
        <v>45778</v>
      </c>
      <c r="B127">
        <v>1.221512247071352</v>
      </c>
      <c r="C127">
        <v>1.419630156472262</v>
      </c>
      <c r="D127">
        <v>1.2276595744680849</v>
      </c>
      <c r="E127">
        <v>1.21143473570658</v>
      </c>
      <c r="M127">
        <v>1.357142857142857</v>
      </c>
      <c r="N127">
        <v>1.500463129496403</v>
      </c>
      <c r="P127">
        <v>1.086182685753238</v>
      </c>
      <c r="Q127">
        <v>1.1579604508335031</v>
      </c>
      <c r="R127">
        <v>1.0181347311760169</v>
      </c>
      <c r="S127" s="3">
        <v>186.6</v>
      </c>
      <c r="T127" s="3">
        <v>127.926</v>
      </c>
      <c r="U127" s="3">
        <v>127.926</v>
      </c>
      <c r="V127" s="3">
        <v>205.488</v>
      </c>
      <c r="W127" s="2">
        <v>197.387</v>
      </c>
      <c r="X127" s="2">
        <v>159.34299999999999</v>
      </c>
      <c r="Y127">
        <f t="shared" si="29"/>
        <v>1.2444163424124515</v>
      </c>
      <c r="Z127">
        <f t="shared" si="30"/>
        <v>1.2444163424124515</v>
      </c>
      <c r="AA127">
        <f t="shared" si="31"/>
        <v>1.8869421487603304</v>
      </c>
      <c r="AB127">
        <f t="shared" si="32"/>
        <v>1.7390925110132158</v>
      </c>
      <c r="AC127">
        <f t="shared" si="33"/>
        <v>1.0958940852819807</v>
      </c>
    </row>
    <row r="128" spans="1:29" x14ac:dyDescent="0.3">
      <c r="A128" s="5">
        <v>45809</v>
      </c>
      <c r="B128">
        <v>1.221512247071352</v>
      </c>
      <c r="C128">
        <v>1.4068278805120911</v>
      </c>
      <c r="D128">
        <v>1.2276595744680849</v>
      </c>
      <c r="E128">
        <v>1.21143473570658</v>
      </c>
      <c r="M128">
        <v>1.342633928571429</v>
      </c>
      <c r="N128">
        <v>1.4414703237410069</v>
      </c>
      <c r="P128">
        <v>1.086182685753238</v>
      </c>
      <c r="Q128">
        <v>1.1609573302223639</v>
      </c>
      <c r="R128">
        <v>1.0203033264339001</v>
      </c>
      <c r="S128" s="3">
        <v>187.005</v>
      </c>
      <c r="T128" s="3">
        <v>127.904</v>
      </c>
      <c r="U128" s="3">
        <v>127.904</v>
      </c>
      <c r="V128" s="3">
        <v>204.065</v>
      </c>
      <c r="W128" s="2">
        <v>199.751</v>
      </c>
      <c r="X128" s="2">
        <v>159.34299999999999</v>
      </c>
      <c r="Y128">
        <f t="shared" si="29"/>
        <v>1.2442023346303501</v>
      </c>
      <c r="Z128">
        <f t="shared" si="30"/>
        <v>1.2442023346303501</v>
      </c>
      <c r="AA128">
        <f t="shared" si="31"/>
        <v>1.8738751147842057</v>
      </c>
      <c r="AB128">
        <f t="shared" si="32"/>
        <v>1.759920704845815</v>
      </c>
      <c r="AC128">
        <f t="shared" si="33"/>
        <v>1.0958940852819807</v>
      </c>
    </row>
    <row r="129" spans="1:29" x14ac:dyDescent="0.3">
      <c r="A129" s="5">
        <v>45839</v>
      </c>
      <c r="B129">
        <v>1.2236421725239619</v>
      </c>
      <c r="C129">
        <v>1.392603129445235</v>
      </c>
      <c r="D129">
        <v>1.236170212765958</v>
      </c>
      <c r="E129">
        <v>1.210355987055016</v>
      </c>
      <c r="M129">
        <v>1.330357142857143</v>
      </c>
      <c r="N129">
        <v>1.435049460431655</v>
      </c>
      <c r="P129">
        <v>1.086182685753238</v>
      </c>
      <c r="S129" s="3">
        <v>187.446</v>
      </c>
      <c r="T129" s="3">
        <v>127.538</v>
      </c>
      <c r="U129" s="3">
        <v>127.538</v>
      </c>
      <c r="V129" s="3">
        <v>202.584</v>
      </c>
      <c r="W129" s="2">
        <v>201.708</v>
      </c>
      <c r="X129" s="2">
        <v>159.34299999999999</v>
      </c>
      <c r="Y129">
        <f t="shared" si="29"/>
        <v>1.2406420233463036</v>
      </c>
      <c r="Z129">
        <f t="shared" si="30"/>
        <v>1.2406420233463036</v>
      </c>
      <c r="AA129">
        <f t="shared" si="31"/>
        <v>1.8602754820936638</v>
      </c>
      <c r="AB129">
        <f t="shared" si="32"/>
        <v>1.7771629955947137</v>
      </c>
      <c r="AC129">
        <f t="shared" si="33"/>
        <v>1.0958940852819807</v>
      </c>
    </row>
    <row r="130" spans="1:29" x14ac:dyDescent="0.3">
      <c r="A130" s="5">
        <v>45870</v>
      </c>
      <c r="B130">
        <v>1.2247071352502661</v>
      </c>
      <c r="C130">
        <v>1.3897581792318641</v>
      </c>
      <c r="D130">
        <v>1.2372340425531909</v>
      </c>
      <c r="E130">
        <v>1.210355987055016</v>
      </c>
      <c r="M130">
        <v>1.331473214285714</v>
      </c>
      <c r="N130">
        <v>1.4510251798561149</v>
      </c>
      <c r="P130">
        <v>1.086182685753238</v>
      </c>
      <c r="S130" s="3">
        <v>187.75299999999999</v>
      </c>
      <c r="T130" s="3">
        <v>127.574</v>
      </c>
      <c r="U130" s="3">
        <v>127.574</v>
      </c>
      <c r="V130" s="3">
        <v>198.083</v>
      </c>
      <c r="W130" s="2">
        <v>202.904</v>
      </c>
      <c r="X130" s="2">
        <v>159.34299999999999</v>
      </c>
      <c r="Y130">
        <f t="shared" si="29"/>
        <v>1.2409922178988326</v>
      </c>
      <c r="Z130">
        <f t="shared" si="30"/>
        <v>1.2409922178988326</v>
      </c>
      <c r="AA130">
        <f t="shared" si="31"/>
        <v>1.8189439853076215</v>
      </c>
      <c r="AB130">
        <f t="shared" si="32"/>
        <v>1.7877004405286343</v>
      </c>
      <c r="AC130">
        <f t="shared" si="33"/>
        <v>1.0958940852819807</v>
      </c>
    </row>
  </sheetData>
  <pageMargins left="0.75" right="0.75" top="1" bottom="1" header="0.5" footer="0.5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D4A578-7FF3-47B7-B140-A91902BFD66E}">
  <dimension ref="A1:I28"/>
  <sheetViews>
    <sheetView topLeftCell="A11" workbookViewId="0">
      <selection activeCell="D12" sqref="D12"/>
    </sheetView>
  </sheetViews>
  <sheetFormatPr defaultRowHeight="14.4" x14ac:dyDescent="0.3"/>
  <cols>
    <col min="1" max="8" width="16.44140625" customWidth="1"/>
  </cols>
  <sheetData>
    <row r="1" spans="1:8" s="9" customFormat="1" ht="43.2" x14ac:dyDescent="0.3">
      <c r="A1" s="9" t="s">
        <v>49</v>
      </c>
      <c r="B1" s="9" t="s">
        <v>50</v>
      </c>
      <c r="C1" s="9" t="s">
        <v>51</v>
      </c>
      <c r="D1" s="9" t="s">
        <v>52</v>
      </c>
      <c r="E1" s="9" t="s">
        <v>53</v>
      </c>
      <c r="F1" s="9" t="s">
        <v>54</v>
      </c>
      <c r="G1" s="9" t="s">
        <v>55</v>
      </c>
      <c r="H1" s="9" t="s">
        <v>56</v>
      </c>
    </row>
    <row r="2" spans="1:8" x14ac:dyDescent="0.3">
      <c r="A2">
        <v>2015</v>
      </c>
      <c r="B2" s="8">
        <v>346.06917475615086</v>
      </c>
      <c r="C2" s="8">
        <v>297.1304644545616</v>
      </c>
      <c r="D2" s="8">
        <v>240.13975399287631</v>
      </c>
      <c r="E2" s="8">
        <v>434.44863252291032</v>
      </c>
      <c r="F2" s="8">
        <v>289.21999237363536</v>
      </c>
      <c r="G2" s="8">
        <v>538.50512081888132</v>
      </c>
      <c r="H2" s="10">
        <v>380.14677211911703</v>
      </c>
    </row>
    <row r="3" spans="1:8" x14ac:dyDescent="0.3">
      <c r="A3">
        <v>2016</v>
      </c>
      <c r="B3" s="8">
        <v>340.08879110766077</v>
      </c>
      <c r="C3" s="8">
        <v>297.62786028172184</v>
      </c>
      <c r="D3" s="8">
        <v>246.17934919573787</v>
      </c>
      <c r="E3" s="8">
        <v>416.0117989872461</v>
      </c>
      <c r="F3" s="8">
        <v>274.24956078060688</v>
      </c>
      <c r="G3" s="8">
        <v>521.41840586220485</v>
      </c>
      <c r="H3" s="10">
        <v>367.64176957902572</v>
      </c>
    </row>
    <row r="4" spans="1:8" x14ac:dyDescent="0.3">
      <c r="A4">
        <v>2017</v>
      </c>
      <c r="B4" s="8">
        <v>0</v>
      </c>
      <c r="C4" s="8">
        <v>0</v>
      </c>
      <c r="D4" s="8">
        <v>0</v>
      </c>
      <c r="E4" s="8">
        <v>0</v>
      </c>
      <c r="F4" s="8">
        <v>0</v>
      </c>
      <c r="G4" s="8">
        <v>0</v>
      </c>
      <c r="H4" s="10">
        <v>0</v>
      </c>
    </row>
    <row r="5" spans="1:8" x14ac:dyDescent="0.3">
      <c r="A5">
        <v>2018</v>
      </c>
      <c r="B5" s="8">
        <v>395.09282765333353</v>
      </c>
      <c r="C5" s="8">
        <v>351.73124480792148</v>
      </c>
      <c r="D5" s="8">
        <v>287.92852305671272</v>
      </c>
      <c r="E5" s="8">
        <v>473.85079792146144</v>
      </c>
      <c r="F5" s="8">
        <v>297.16669908004928</v>
      </c>
      <c r="G5" s="8">
        <v>641.38175465394829</v>
      </c>
      <c r="H5" s="10">
        <v>461.83685307030959</v>
      </c>
    </row>
    <row r="6" spans="1:8" x14ac:dyDescent="0.3">
      <c r="A6">
        <v>2019</v>
      </c>
      <c r="B6" s="8">
        <v>357.11937803296604</v>
      </c>
      <c r="C6" s="8">
        <v>298.72864218895381</v>
      </c>
      <c r="D6" s="8">
        <v>245.87848055297275</v>
      </c>
      <c r="E6" s="8">
        <v>468.61677060932391</v>
      </c>
      <c r="F6" s="8">
        <v>321.40233369417064</v>
      </c>
      <c r="G6" s="8">
        <v>610.33256696733224</v>
      </c>
      <c r="H6" s="10">
        <v>472.04281245882515</v>
      </c>
    </row>
    <row r="7" spans="1:8" x14ac:dyDescent="0.3">
      <c r="A7">
        <v>2020</v>
      </c>
      <c r="B7" s="8">
        <v>353.14754652630126</v>
      </c>
      <c r="C7" s="8">
        <v>296.07151539604706</v>
      </c>
      <c r="D7" s="8">
        <v>246.49971565290375</v>
      </c>
      <c r="E7" s="8">
        <v>463.40035831112613</v>
      </c>
      <c r="F7" s="8">
        <v>306.65744865614948</v>
      </c>
      <c r="G7" s="8">
        <v>608.53523529363008</v>
      </c>
      <c r="H7" s="10">
        <v>487.74441733483172</v>
      </c>
    </row>
    <row r="8" spans="1:8" x14ac:dyDescent="0.3">
      <c r="A8">
        <v>2021</v>
      </c>
      <c r="B8" s="8">
        <v>498.11841762885484</v>
      </c>
      <c r="C8" s="8">
        <v>463.95120152034013</v>
      </c>
      <c r="D8" s="8">
        <v>417.79504261069508</v>
      </c>
      <c r="E8" s="8">
        <v>562.35771657025862</v>
      </c>
      <c r="F8" s="8">
        <v>357.33333013534303</v>
      </c>
      <c r="G8" s="8">
        <v>750.12085640939722</v>
      </c>
      <c r="H8" s="10">
        <v>619.99967836945802</v>
      </c>
    </row>
    <row r="9" spans="1:8" x14ac:dyDescent="0.3">
      <c r="A9">
        <v>2022</v>
      </c>
      <c r="B9" s="8">
        <v>413.09549893446274</v>
      </c>
      <c r="C9" s="8">
        <v>371.63851727934394</v>
      </c>
      <c r="D9" s="8">
        <v>321.92343932891328</v>
      </c>
      <c r="E9" s="8">
        <v>475.95718175136244</v>
      </c>
      <c r="F9" s="8">
        <v>313.15650265111191</v>
      </c>
      <c r="G9" s="8">
        <v>658.17053058467354</v>
      </c>
      <c r="H9" s="10">
        <v>537.14328511496979</v>
      </c>
    </row>
    <row r="10" spans="1:8" x14ac:dyDescent="0.3">
      <c r="A10">
        <v>2023</v>
      </c>
      <c r="B10" s="8">
        <v>491.8385392948864</v>
      </c>
      <c r="C10" s="8">
        <v>404.8199051244103</v>
      </c>
      <c r="D10" s="8">
        <v>333.35385044061638</v>
      </c>
      <c r="E10" s="8">
        <v>623.78586305064016</v>
      </c>
      <c r="F10" s="8">
        <v>523.7178329648184</v>
      </c>
      <c r="G10" s="8">
        <v>717.51052334039412</v>
      </c>
      <c r="H10" s="10">
        <v>742.47200132330545</v>
      </c>
    </row>
    <row r="11" spans="1:8" x14ac:dyDescent="0.3">
      <c r="A11">
        <v>2024</v>
      </c>
      <c r="B11" s="8"/>
      <c r="C11" s="8"/>
      <c r="D11" s="8"/>
      <c r="E11" s="8"/>
      <c r="F11" s="8"/>
      <c r="G11" s="8"/>
      <c r="H11" s="8"/>
    </row>
    <row r="12" spans="1:8" x14ac:dyDescent="0.3">
      <c r="A12">
        <v>2025</v>
      </c>
      <c r="B12" s="8"/>
      <c r="C12" s="8"/>
      <c r="D12" s="8"/>
      <c r="E12" s="8"/>
      <c r="F12" s="8"/>
      <c r="G12" s="8"/>
      <c r="H12" s="8"/>
    </row>
    <row r="14" spans="1:8" x14ac:dyDescent="0.3">
      <c r="A14" t="s">
        <v>57</v>
      </c>
    </row>
    <row r="15" spans="1:8" x14ac:dyDescent="0.3">
      <c r="A15" t="s">
        <v>58</v>
      </c>
    </row>
    <row r="17" spans="1:9" x14ac:dyDescent="0.3">
      <c r="A17" t="s">
        <v>59</v>
      </c>
    </row>
    <row r="18" spans="1:9" x14ac:dyDescent="0.3">
      <c r="A18">
        <v>2015</v>
      </c>
      <c r="B18" s="11">
        <f>B2/B$2</f>
        <v>1</v>
      </c>
      <c r="C18" s="11">
        <f t="shared" ref="C18:G18" si="0">C2/C$2</f>
        <v>1</v>
      </c>
      <c r="D18" s="11">
        <f t="shared" si="0"/>
        <v>1</v>
      </c>
      <c r="E18" s="11">
        <f t="shared" si="0"/>
        <v>1</v>
      </c>
      <c r="F18" s="11">
        <f t="shared" si="0"/>
        <v>1</v>
      </c>
      <c r="G18" s="11">
        <f t="shared" si="0"/>
        <v>1</v>
      </c>
      <c r="H18" s="11">
        <f>H2/H$2</f>
        <v>1</v>
      </c>
    </row>
    <row r="19" spans="1:9" x14ac:dyDescent="0.3">
      <c r="A19">
        <v>2016</v>
      </c>
      <c r="B19" s="11">
        <f t="shared" ref="B19:G28" si="1">B3/B$2</f>
        <v>0.9827191091124946</v>
      </c>
      <c r="C19" s="11">
        <f t="shared" si="1"/>
        <v>1.0016739980805176</v>
      </c>
      <c r="D19" s="11">
        <f t="shared" si="1"/>
        <v>1.025150334763151</v>
      </c>
      <c r="E19" s="11">
        <f t="shared" si="1"/>
        <v>0.95756268484815188</v>
      </c>
      <c r="F19" s="11">
        <f t="shared" si="1"/>
        <v>0.94823860041567043</v>
      </c>
      <c r="G19" s="11">
        <f t="shared" si="1"/>
        <v>0.96827009754207449</v>
      </c>
      <c r="H19" s="11">
        <f t="shared" ref="H19" si="2">H3/H$2</f>
        <v>0.96710480409873656</v>
      </c>
    </row>
    <row r="20" spans="1:9" x14ac:dyDescent="0.3">
      <c r="A20">
        <v>2017</v>
      </c>
      <c r="B20" s="12">
        <f>AVERAGE(B19,B21)</f>
        <v>1.0621888229123873</v>
      </c>
      <c r="C20" s="12">
        <f t="shared" ref="C20:H20" si="3">AVERAGE(C19,C21)</f>
        <v>1.0927171441031183</v>
      </c>
      <c r="D20" s="12">
        <f t="shared" si="3"/>
        <v>1.1120771620934842</v>
      </c>
      <c r="E20" s="12">
        <f t="shared" si="3"/>
        <v>1.0241286659611955</v>
      </c>
      <c r="F20" s="12">
        <f t="shared" si="3"/>
        <v>0.98785746996780777</v>
      </c>
      <c r="G20" s="12">
        <f t="shared" si="3"/>
        <v>1.079655620310475</v>
      </c>
      <c r="H20" s="12">
        <f t="shared" si="3"/>
        <v>1.0909978506793983</v>
      </c>
      <c r="I20" t="s">
        <v>60</v>
      </c>
    </row>
    <row r="21" spans="1:9" x14ac:dyDescent="0.3">
      <c r="A21">
        <v>2018</v>
      </c>
      <c r="B21" s="11">
        <f t="shared" si="1"/>
        <v>1.14165853671228</v>
      </c>
      <c r="C21" s="11">
        <f t="shared" si="1"/>
        <v>1.1837602901257189</v>
      </c>
      <c r="D21" s="11">
        <f t="shared" si="1"/>
        <v>1.1990039894238171</v>
      </c>
      <c r="E21" s="11">
        <f t="shared" si="1"/>
        <v>1.0906946470742391</v>
      </c>
      <c r="F21" s="11">
        <f t="shared" si="1"/>
        <v>1.0274763395199451</v>
      </c>
      <c r="G21" s="11">
        <f t="shared" si="1"/>
        <v>1.1910411430788754</v>
      </c>
      <c r="H21" s="11">
        <f t="shared" ref="H21" si="4">H5/H$2</f>
        <v>1.2148908972600598</v>
      </c>
    </row>
    <row r="22" spans="1:9" x14ac:dyDescent="0.3">
      <c r="A22">
        <v>2019</v>
      </c>
      <c r="B22" s="11">
        <f t="shared" si="1"/>
        <v>1.0319306198958675</v>
      </c>
      <c r="C22" s="11">
        <f t="shared" si="1"/>
        <v>1.0053787070852056</v>
      </c>
      <c r="D22" s="11">
        <f t="shared" si="1"/>
        <v>1.0238974449864169</v>
      </c>
      <c r="E22" s="11">
        <f t="shared" si="1"/>
        <v>1.0786471300139533</v>
      </c>
      <c r="F22" s="11">
        <f t="shared" si="1"/>
        <v>1.1112728793622253</v>
      </c>
      <c r="G22" s="11">
        <f t="shared" si="1"/>
        <v>1.1333830327169889</v>
      </c>
      <c r="H22" s="11">
        <f t="shared" ref="H22" si="5">H6/H$2</f>
        <v>1.2417383155128119</v>
      </c>
    </row>
    <row r="23" spans="1:9" x14ac:dyDescent="0.3">
      <c r="A23">
        <v>2020</v>
      </c>
      <c r="B23" s="11">
        <f t="shared" si="1"/>
        <v>1.020453632644797</v>
      </c>
      <c r="C23" s="11">
        <f t="shared" si="1"/>
        <v>0.99643608049259291</v>
      </c>
      <c r="D23" s="11">
        <f t="shared" si="1"/>
        <v>1.0264844181535062</v>
      </c>
      <c r="E23" s="11">
        <f t="shared" si="1"/>
        <v>1.0666401586306962</v>
      </c>
      <c r="F23" s="11">
        <f t="shared" si="1"/>
        <v>1.0602913240519942</v>
      </c>
      <c r="G23" s="11">
        <f t="shared" si="1"/>
        <v>1.1300454011806926</v>
      </c>
      <c r="H23" s="11">
        <f t="shared" ref="H23" si="6">H7/H$2</f>
        <v>1.2830423749645821</v>
      </c>
    </row>
    <row r="24" spans="1:9" x14ac:dyDescent="0.3">
      <c r="A24">
        <v>2021</v>
      </c>
      <c r="B24" s="11">
        <f t="shared" si="1"/>
        <v>1.4393608387104739</v>
      </c>
      <c r="C24" s="11">
        <f t="shared" si="1"/>
        <v>1.5614393575293908</v>
      </c>
      <c r="D24" s="11">
        <f t="shared" si="1"/>
        <v>1.7397995778037187</v>
      </c>
      <c r="E24" s="11">
        <f t="shared" si="1"/>
        <v>1.2944170483505968</v>
      </c>
      <c r="F24" s="11">
        <f t="shared" si="1"/>
        <v>1.235507017349319</v>
      </c>
      <c r="G24" s="11">
        <f t="shared" si="1"/>
        <v>1.3929688454377576</v>
      </c>
      <c r="H24" s="11">
        <f t="shared" ref="H24" si="7">H8/H$2</f>
        <v>1.6309481596102684</v>
      </c>
    </row>
    <row r="25" spans="1:9" x14ac:dyDescent="0.3">
      <c r="A25">
        <v>2022</v>
      </c>
      <c r="B25" s="11">
        <f t="shared" si="1"/>
        <v>1.1936789782723074</v>
      </c>
      <c r="C25" s="11">
        <f t="shared" si="1"/>
        <v>1.2507587128824227</v>
      </c>
      <c r="D25" s="11">
        <f t="shared" si="1"/>
        <v>1.3405670405511578</v>
      </c>
      <c r="E25" s="11">
        <f t="shared" si="1"/>
        <v>1.0955430541636317</v>
      </c>
      <c r="F25" s="11">
        <f t="shared" si="1"/>
        <v>1.0827622948228062</v>
      </c>
      <c r="G25" s="11">
        <f t="shared" si="1"/>
        <v>1.2222177749838705</v>
      </c>
      <c r="H25" s="11">
        <f t="shared" ref="H25" si="8">H9/H$2</f>
        <v>1.4129892044608989</v>
      </c>
    </row>
    <row r="26" spans="1:9" x14ac:dyDescent="0.3">
      <c r="A26">
        <v>2023</v>
      </c>
      <c r="B26" s="11">
        <f t="shared" si="1"/>
        <v>1.4212145292670124</v>
      </c>
      <c r="C26" s="11">
        <f t="shared" si="1"/>
        <v>1.3624315024968334</v>
      </c>
      <c r="D26" s="11">
        <f t="shared" si="1"/>
        <v>1.3881660362261605</v>
      </c>
      <c r="E26" s="11">
        <f t="shared" si="1"/>
        <v>1.4358103958763071</v>
      </c>
      <c r="F26" s="11">
        <f t="shared" si="1"/>
        <v>1.8107940210725189</v>
      </c>
      <c r="G26" s="11">
        <f t="shared" si="1"/>
        <v>1.3324116997240565</v>
      </c>
      <c r="H26" s="11">
        <f t="shared" ref="H26:H28" si="9">H10/H$2</f>
        <v>1.9531193101664841</v>
      </c>
    </row>
    <row r="27" spans="1:9" x14ac:dyDescent="0.3">
      <c r="A27">
        <v>2024</v>
      </c>
      <c r="B27" s="11">
        <f t="shared" si="1"/>
        <v>0</v>
      </c>
      <c r="C27" s="11">
        <f t="shared" si="1"/>
        <v>0</v>
      </c>
      <c r="D27" s="11">
        <f t="shared" si="1"/>
        <v>0</v>
      </c>
      <c r="E27" s="11">
        <f t="shared" si="1"/>
        <v>0</v>
      </c>
      <c r="F27" s="11">
        <f t="shared" si="1"/>
        <v>0</v>
      </c>
      <c r="G27" s="11">
        <f t="shared" si="1"/>
        <v>0</v>
      </c>
      <c r="H27" s="11">
        <f t="shared" si="9"/>
        <v>0</v>
      </c>
    </row>
    <row r="28" spans="1:9" x14ac:dyDescent="0.3">
      <c r="A28">
        <v>2025</v>
      </c>
      <c r="B28" s="11">
        <f t="shared" si="1"/>
        <v>0</v>
      </c>
      <c r="C28" s="11">
        <f t="shared" si="1"/>
        <v>0</v>
      </c>
      <c r="D28" s="11">
        <f t="shared" si="1"/>
        <v>0</v>
      </c>
      <c r="E28" s="11">
        <f t="shared" si="1"/>
        <v>0</v>
      </c>
      <c r="F28" s="11">
        <f t="shared" si="1"/>
        <v>0</v>
      </c>
      <c r="G28" s="11">
        <f t="shared" si="1"/>
        <v>0</v>
      </c>
      <c r="H28" s="11">
        <f t="shared" si="9"/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E32BC299DDA75418A481CE8C1C04767" ma:contentTypeVersion="10" ma:contentTypeDescription="Een nieuw document maken." ma:contentTypeScope="" ma:versionID="0fa4796f6798a7b079311364fca30a32">
  <xsd:schema xmlns:xsd="http://www.w3.org/2001/XMLSchema" xmlns:xs="http://www.w3.org/2001/XMLSchema" xmlns:p="http://schemas.microsoft.com/office/2006/metadata/properties" xmlns:ns2="03763a1d-3ef6-4dac-84db-711c24c35716" targetNamespace="http://schemas.microsoft.com/office/2006/metadata/properties" ma:root="true" ma:fieldsID="ccd651f340b356ff6f610107a3061652" ns2:_="">
    <xsd:import namespace="03763a1d-3ef6-4dac-84db-711c24c3571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3763a1d-3ef6-4dac-84db-711c24c3571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Afbeeldingtags" ma:readOnly="false" ma:fieldId="{5cf76f15-5ced-4ddc-b409-7134ff3c332f}" ma:taxonomyMulti="true" ma:sspId="32d39682-ccf7-48d8-962f-2ca2d3d56b7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3763a1d-3ef6-4dac-84db-711c24c3571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0537B3E-014A-469F-981F-8DE51CBD53A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3763a1d-3ef6-4dac-84db-711c24c3571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D0FB69B-9C77-4E2A-8594-F035F4CB67B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53D09D3-C993-4E4F-8FAB-E2C355431566}">
  <ds:schemaRefs>
    <ds:schemaRef ds:uri="http://schemas.microsoft.com/office/2006/metadata/properties"/>
    <ds:schemaRef ds:uri="http://schemas.microsoft.com/office/infopath/2007/PartnerControls"/>
    <ds:schemaRef ds:uri="03763a1d-3ef6-4dac-84db-711c24c35716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Datasheet 260218 (def)</vt:lpstr>
      <vt:lpstr>Datasheet 260218 (oud)</vt:lpstr>
      <vt:lpstr>Sheet1</vt:lpstr>
      <vt:lpstr>Invoerblad HOUT</vt:lpstr>
      <vt:lpstr>_HOUT_INDEX_TAB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Pieter Bons</cp:lastModifiedBy>
  <cp:revision/>
  <dcterms:created xsi:type="dcterms:W3CDTF">2025-10-07T14:30:16Z</dcterms:created>
  <dcterms:modified xsi:type="dcterms:W3CDTF">2026-04-24T13:42:39Z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0x0101004E32BC299DDA75418A481CE8C1C04767</vt:lpwstr>
  </property>
  <property fmtid="{D5CDD505-2E9C-101B-9397-08002B2CF9AE}" pid="3" name="MediaServiceImageTags">
    <vt:lpwstr/>
  </property>
</Properties>
</file>